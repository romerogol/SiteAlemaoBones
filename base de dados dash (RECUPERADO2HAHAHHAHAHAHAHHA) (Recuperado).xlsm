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4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5.xml" ContentType="application/vnd.openxmlformats-officedocument.spreadsheetml.pivotTable+xml"/>
  <Override PartName="/xl/drawings/drawing4.xml" ContentType="application/vnd.openxmlformats-officedocument.drawing+xml"/>
  <Override PartName="/xl/slicers/slicer2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slicers/slicer3.xml" ContentType="application/vnd.ms-excel.slicer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Turma Manha.PC-IOS-FP12WY3\Desktop\guilherme augusto de souza benelli\PTT TCC\dashboard base de dados\"/>
    </mc:Choice>
  </mc:AlternateContent>
  <workbookProtection workbookAlgorithmName="SHA-512" workbookHashValue="E43jlJXlBmOw6UzXcX7cUlhb0jSPZNKXb1ue/9W6HO3takGRBf3y8lJWfzQflRssZWfBc8YnyEU3D0kBKVy8yw==" workbookSaltValue="WNIh0N/N7zv3qB1v8RSJSw==" workbookSpinCount="100000" lockStructure="1"/>
  <bookViews>
    <workbookView xWindow="0" yWindow="0" windowWidth="28800" windowHeight="12210" firstSheet="1" activeTab="9"/>
  </bookViews>
  <sheets>
    <sheet name="base de dados separadas" sheetId="1" r:id="rId1"/>
    <sheet name="datas" sheetId="8" r:id="rId2"/>
    <sheet name="estoque" sheetId="9" r:id="rId3"/>
    <sheet name="vendas nas lojas" sheetId="10" r:id="rId4"/>
    <sheet name="quantidades" sheetId="13" r:id="rId5"/>
    <sheet name="itens" sheetId="7" r:id="rId6"/>
    <sheet name="base de dados juntas" sheetId="5" r:id="rId7"/>
    <sheet name="Planilha2" sheetId="16" r:id="rId8"/>
    <sheet name="app macro" sheetId="14" r:id="rId9"/>
    <sheet name="dashboard 2" sheetId="12" r:id="rId10"/>
  </sheets>
  <definedNames>
    <definedName name="_xlnm._FilterDatabase" localSheetId="6" hidden="1">'base de dados juntas'!$B$1:$I$181</definedName>
    <definedName name="SegmentaçãodeDados_data_mês1">#N/A</definedName>
    <definedName name="SegmentaçãodeDados_itens">#N/A</definedName>
  </definedNames>
  <calcPr calcId="162913"/>
  <pivotCaches>
    <pivotCache cacheId="48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5" l="1"/>
  <c r="I3" i="5"/>
  <c r="I4" i="5"/>
  <c r="I5" i="5"/>
  <c r="I6" i="5"/>
  <c r="I7" i="5"/>
  <c r="I8" i="5"/>
  <c r="I9" i="5"/>
  <c r="I10" i="5" l="1"/>
  <c r="I11" i="5" l="1"/>
  <c r="I12" i="5" l="1"/>
  <c r="I13" i="5"/>
  <c r="I14" i="5"/>
  <c r="I15" i="5" l="1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3" i="14"/>
  <c r="I118" i="5"/>
  <c r="I119" i="5"/>
  <c r="I120" i="5"/>
  <c r="I121" i="5"/>
  <c r="I122" i="5"/>
  <c r="I123" i="5"/>
  <c r="I124" i="5"/>
  <c r="I125" i="5"/>
  <c r="I126" i="5"/>
  <c r="I127" i="5"/>
  <c r="I128" i="5" l="1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150" i="5"/>
  <c r="I151" i="5"/>
  <c r="I152" i="5"/>
  <c r="I153" i="5"/>
  <c r="I154" i="5"/>
  <c r="I155" i="5"/>
  <c r="I156" i="5"/>
  <c r="I157" i="5"/>
  <c r="I158" i="5"/>
  <c r="I159" i="5"/>
  <c r="I160" i="5"/>
  <c r="I161" i="5"/>
  <c r="I162" i="5"/>
  <c r="I163" i="5"/>
  <c r="I164" i="5"/>
  <c r="I165" i="5"/>
  <c r="I166" i="5"/>
  <c r="I167" i="5"/>
  <c r="I168" i="5"/>
  <c r="I169" i="5"/>
  <c r="I170" i="5"/>
  <c r="I171" i="5"/>
  <c r="I172" i="5"/>
  <c r="I173" i="5"/>
  <c r="I174" i="5"/>
  <c r="I175" i="5"/>
  <c r="I176" i="5"/>
  <c r="I277" i="5"/>
  <c r="I276" i="5"/>
  <c r="I275" i="5"/>
  <c r="I274" i="5"/>
  <c r="I273" i="5"/>
  <c r="I272" i="5"/>
  <c r="I271" i="5"/>
  <c r="I270" i="5"/>
  <c r="I269" i="5"/>
  <c r="I268" i="5"/>
  <c r="I267" i="5"/>
  <c r="I266" i="5"/>
  <c r="I265" i="5"/>
  <c r="I264" i="5"/>
  <c r="I263" i="5"/>
  <c r="I262" i="5"/>
  <c r="I261" i="5"/>
  <c r="I260" i="5"/>
  <c r="I259" i="5"/>
  <c r="I258" i="5"/>
  <c r="I257" i="5"/>
  <c r="I256" i="5"/>
  <c r="I255" i="5"/>
  <c r="I254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27" i="5"/>
  <c r="I226" i="5"/>
  <c r="I225" i="5"/>
  <c r="I224" i="5"/>
  <c r="I223" i="5"/>
  <c r="I222" i="5"/>
  <c r="I221" i="5"/>
  <c r="I220" i="5"/>
  <c r="I219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77" i="5"/>
  <c r="S13" i="16"/>
  <c r="S14" i="16"/>
  <c r="S15" i="16"/>
  <c r="S16" i="16"/>
  <c r="S17" i="16"/>
  <c r="S18" i="16"/>
  <c r="S19" i="16"/>
  <c r="S20" i="16"/>
  <c r="S21" i="16"/>
  <c r="S22" i="16"/>
  <c r="S23" i="16"/>
  <c r="S24" i="16"/>
  <c r="S25" i="16"/>
  <c r="S26" i="16"/>
  <c r="S27" i="16"/>
  <c r="S28" i="16"/>
  <c r="S29" i="16"/>
  <c r="S30" i="16"/>
  <c r="S31" i="16"/>
  <c r="S32" i="16"/>
  <c r="S33" i="16"/>
  <c r="S34" i="16"/>
  <c r="S35" i="16"/>
  <c r="S36" i="16"/>
  <c r="S37" i="16"/>
  <c r="S38" i="16"/>
  <c r="S39" i="16"/>
  <c r="S40" i="16"/>
  <c r="S41" i="16"/>
  <c r="S42" i="16"/>
  <c r="S43" i="16"/>
  <c r="S44" i="16"/>
  <c r="S45" i="16"/>
  <c r="S46" i="16"/>
  <c r="S47" i="16"/>
  <c r="S48" i="16"/>
  <c r="S49" i="16"/>
  <c r="S50" i="16"/>
  <c r="S51" i="16"/>
  <c r="S52" i="16"/>
  <c r="S53" i="16"/>
  <c r="S54" i="16"/>
  <c r="S55" i="16"/>
  <c r="S56" i="16"/>
  <c r="S57" i="16"/>
  <c r="S58" i="16"/>
  <c r="S59" i="16"/>
  <c r="S60" i="16"/>
  <c r="S61" i="16"/>
  <c r="S62" i="16"/>
  <c r="S63" i="16"/>
  <c r="S64" i="16"/>
  <c r="S65" i="16"/>
  <c r="S66" i="16"/>
  <c r="S67" i="16"/>
  <c r="S68" i="16"/>
  <c r="S69" i="16"/>
  <c r="S70" i="16"/>
  <c r="S71" i="16"/>
  <c r="S72" i="16"/>
  <c r="S73" i="16"/>
  <c r="S74" i="16"/>
  <c r="S75" i="16"/>
  <c r="S76" i="16"/>
  <c r="S77" i="16"/>
  <c r="S78" i="16"/>
  <c r="S79" i="16"/>
  <c r="S80" i="16"/>
  <c r="S81" i="16"/>
  <c r="S82" i="16"/>
  <c r="S83" i="16"/>
  <c r="S84" i="16"/>
  <c r="S85" i="16"/>
  <c r="S86" i="16"/>
  <c r="S87" i="16"/>
  <c r="S88" i="16"/>
  <c r="S89" i="16"/>
  <c r="S90" i="16"/>
  <c r="S91" i="16"/>
  <c r="S92" i="16"/>
  <c r="S93" i="16"/>
  <c r="S94" i="16"/>
  <c r="S95" i="16"/>
  <c r="S96" i="16"/>
  <c r="S97" i="16"/>
  <c r="S98" i="16"/>
  <c r="S99" i="16"/>
  <c r="S100" i="16"/>
  <c r="S101" i="16"/>
  <c r="S102" i="16"/>
  <c r="S103" i="16"/>
  <c r="S104" i="16"/>
  <c r="S105" i="16"/>
  <c r="S106" i="16"/>
  <c r="S107" i="16"/>
  <c r="S108" i="16"/>
  <c r="I178" i="5"/>
  <c r="I179" i="5"/>
  <c r="I180" i="5"/>
  <c r="I181" i="5"/>
  <c r="AI25" i="1" l="1"/>
  <c r="Z25" i="1"/>
  <c r="Q25" i="1"/>
  <c r="H25" i="1"/>
  <c r="AI24" i="1"/>
  <c r="Z24" i="1"/>
  <c r="Q24" i="1"/>
  <c r="H24" i="1"/>
  <c r="AI23" i="1"/>
  <c r="Z23" i="1"/>
  <c r="Q23" i="1"/>
  <c r="H23" i="1"/>
  <c r="AI22" i="1"/>
  <c r="Z22" i="1"/>
  <c r="Q22" i="1"/>
  <c r="H22" i="1"/>
  <c r="AI21" i="1"/>
  <c r="Z21" i="1"/>
  <c r="Q21" i="1"/>
  <c r="H21" i="1"/>
  <c r="AI20" i="1"/>
  <c r="Z20" i="1"/>
  <c r="Q20" i="1"/>
  <c r="H20" i="1"/>
  <c r="AI19" i="1"/>
  <c r="Z19" i="1"/>
  <c r="Q19" i="1"/>
  <c r="H19" i="1"/>
  <c r="AI18" i="1"/>
  <c r="Z18" i="1"/>
  <c r="Q18" i="1"/>
  <c r="H18" i="1"/>
  <c r="AI17" i="1"/>
  <c r="Z17" i="1"/>
  <c r="Q17" i="1"/>
  <c r="H17" i="1"/>
  <c r="AI16" i="1"/>
  <c r="Z16" i="1"/>
  <c r="Q16" i="1"/>
  <c r="H16" i="1"/>
  <c r="AI15" i="1"/>
  <c r="Z15" i="1"/>
  <c r="Q15" i="1"/>
  <c r="H15" i="1"/>
  <c r="AI14" i="1"/>
  <c r="Z14" i="1"/>
  <c r="Q14" i="1"/>
  <c r="H14" i="1"/>
  <c r="AI13" i="1"/>
  <c r="Z13" i="1"/>
  <c r="Q13" i="1"/>
  <c r="H13" i="1"/>
  <c r="AI12" i="1"/>
  <c r="Z12" i="1"/>
  <c r="Q12" i="1"/>
  <c r="H12" i="1"/>
  <c r="AI11" i="1"/>
  <c r="Z11" i="1"/>
  <c r="Q11" i="1"/>
  <c r="H11" i="1"/>
  <c r="AI10" i="1"/>
  <c r="Z10" i="1"/>
  <c r="Q10" i="1"/>
  <c r="H10" i="1"/>
  <c r="AI9" i="1"/>
  <c r="Z9" i="1"/>
  <c r="Q9" i="1"/>
  <c r="H9" i="1"/>
  <c r="AI8" i="1"/>
  <c r="Z8" i="1"/>
  <c r="Q8" i="1"/>
  <c r="H8" i="1"/>
  <c r="AI7" i="1"/>
  <c r="Z7" i="1"/>
  <c r="Q7" i="1"/>
  <c r="H7" i="1"/>
  <c r="AI6" i="1"/>
  <c r="Z6" i="1"/>
  <c r="Q6" i="1"/>
  <c r="H6" i="1"/>
  <c r="AI5" i="1"/>
  <c r="Z5" i="1"/>
  <c r="Q5" i="1"/>
  <c r="H5" i="1"/>
  <c r="AI4" i="1"/>
  <c r="Z4" i="1"/>
  <c r="Q4" i="1"/>
  <c r="H4" i="1"/>
  <c r="AI3" i="1"/>
  <c r="Z3" i="1"/>
  <c r="Q3" i="1"/>
  <c r="H3" i="1"/>
  <c r="AI2" i="1"/>
  <c r="Z2" i="1"/>
  <c r="Q2" i="1"/>
  <c r="H2" i="1"/>
</calcChain>
</file>

<file path=xl/sharedStrings.xml><?xml version="1.0" encoding="utf-8"?>
<sst xmlns="http://schemas.openxmlformats.org/spreadsheetml/2006/main" count="1994" uniqueCount="43">
  <si>
    <t xml:space="preserve">vendidos </t>
  </si>
  <si>
    <t xml:space="preserve">estoque </t>
  </si>
  <si>
    <t xml:space="preserve">itens </t>
  </si>
  <si>
    <t xml:space="preserve">vendas das lojas </t>
  </si>
  <si>
    <t>bags</t>
  </si>
  <si>
    <t>data/mês</t>
  </si>
  <si>
    <t>loja1</t>
  </si>
  <si>
    <t>janeiro</t>
  </si>
  <si>
    <t>loja2</t>
  </si>
  <si>
    <t>Rótulos de Linha</t>
  </si>
  <si>
    <t>Total Geral</t>
  </si>
  <si>
    <t>bonés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</si>
  <si>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</si>
  <si>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</si>
  <si>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</si>
  <si>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</si>
  <si>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</si>
  <si>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</si>
  <si>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</si>
  <si>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</si>
  <si>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</si>
  <si>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</si>
  <si>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</si>
  <si>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relógio</t>
  </si>
  <si>
    <t>óculos</t>
  </si>
  <si>
    <t>valor unt</t>
  </si>
  <si>
    <t>estado</t>
  </si>
  <si>
    <t>são paulo</t>
  </si>
  <si>
    <t>receita bruta</t>
  </si>
  <si>
    <t>Soma de receita bruta</t>
  </si>
  <si>
    <t xml:space="preserve">categoria </t>
  </si>
  <si>
    <t>vendas nas lojas</t>
  </si>
  <si>
    <t xml:space="preserve">Soma de vendidos </t>
  </si>
  <si>
    <t/>
  </si>
  <si>
    <t>item</t>
  </si>
  <si>
    <t>quantidade</t>
  </si>
  <si>
    <t>estoque</t>
  </si>
  <si>
    <t>valor</t>
  </si>
  <si>
    <t>mês</t>
  </si>
  <si>
    <t>loja</t>
  </si>
  <si>
    <t>valor receita</t>
  </si>
  <si>
    <t>MACRO PARA INFORMAÇÕES</t>
  </si>
  <si>
    <t>(Tudo)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</si>
</sst>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4" formatCode="_-&quot;R$&quot;\ * #,##0.00_-;\-&quot;R$&quot;\ * #,##0.00_-;_-&quot;R$&quot;\ * &quot;-&quot;??_-;_-@_-"/>
    <numFmt numFmtId="164" formatCode="&quot;R$&quot;\ #,##0"/>
    <numFmt numFmtId="165" formatCode="&quot;R$&quot;\ #,##0.0"/>
    <numFmt numFmtId="166" formatCode="_-[$R$-416]\ * #,##0.00_-;\-[$R$-416]\ * #,##0.00_-;_-[$R$-416]\ * &quot;-&quot;??_-;_-@_-"/>
  </numFmts>
  <fonts count="7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Franklin Gothic Heavy"/>
      <family val="2"/>
    </font>
    <font>
      <sz val="11"/>
      <color theme="1"/>
      <name val="Franklin Gothic Medium"/>
      <family val="2"/>
    </font>
  </fonts>
  <fills count="10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37426F"/>
        <bgColor indexed="64"/>
      </patternFill>
    </fill>
    <fill>
      <patternFill patternType="solid">
        <fgColor rgb="FFAB031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3" borderId="1" xfId="0" applyFont="1" applyFill="1" applyBorder="1"/>
    <xf numFmtId="0" fontId="0" fillId="0" borderId="1" xfId="0" applyBorder="1"/>
    <xf numFmtId="16" fontId="0" fillId="0" borderId="1" xfId="0" applyNumberFormat="1" applyBorder="1"/>
    <xf numFmtId="0" fontId="0" fillId="0" borderId="1" xfId="0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2" borderId="1" xfId="0" applyFont="1" applyFill="1" applyBorder="1"/>
    <xf numFmtId="44" fontId="0" fillId="0" borderId="1" xfId="1" applyFont="1" applyBorder="1"/>
    <xf numFmtId="44" fontId="0" fillId="0" borderId="1" xfId="0" applyNumberFormat="1" applyBorder="1"/>
    <xf numFmtId="164" fontId="0" fillId="0" borderId="0" xfId="0" applyNumberFormat="1"/>
    <xf numFmtId="165" fontId="0" fillId="0" borderId="0" xfId="0" applyNumberFormat="1"/>
    <xf numFmtId="164" fontId="0" fillId="0" borderId="0" xfId="0" applyNumberFormat="1" applyAlignment="1">
      <alignment horizontal="left"/>
    </xf>
    <xf numFmtId="0" fontId="0" fillId="6" borderId="0" xfId="0" applyFill="1"/>
    <xf numFmtId="0" fontId="1" fillId="7" borderId="0" xfId="0" applyFont="1" applyFill="1" applyBorder="1"/>
    <xf numFmtId="0" fontId="0" fillId="7" borderId="0" xfId="0" applyFont="1" applyFill="1" applyBorder="1"/>
    <xf numFmtId="0" fontId="0" fillId="0" borderId="0" xfId="0" applyBorder="1"/>
    <xf numFmtId="0" fontId="0" fillId="8" borderId="0" xfId="0" applyFill="1"/>
    <xf numFmtId="0" fontId="0" fillId="7" borderId="0" xfId="0" applyFill="1" applyBorder="1"/>
    <xf numFmtId="0" fontId="0" fillId="6" borderId="0" xfId="0" quotePrefix="1" applyFill="1"/>
    <xf numFmtId="0" fontId="4" fillId="7" borderId="0" xfId="0" applyFont="1" applyFill="1" applyBorder="1"/>
    <xf numFmtId="0" fontId="0" fillId="0" borderId="1" xfId="0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0" fontId="1" fillId="8" borderId="1" xfId="0" applyFont="1" applyFill="1" applyBorder="1"/>
    <xf numFmtId="0" fontId="1" fillId="8" borderId="0" xfId="0" applyFont="1" applyFill="1"/>
    <xf numFmtId="0" fontId="6" fillId="0" borderId="1" xfId="0" applyFont="1" applyBorder="1" applyAlignment="1">
      <alignment horizontal="center" vertical="center"/>
    </xf>
    <xf numFmtId="44" fontId="6" fillId="0" borderId="1" xfId="1" applyFont="1" applyBorder="1" applyAlignment="1">
      <alignment horizontal="center" vertical="center"/>
    </xf>
    <xf numFmtId="166" fontId="6" fillId="0" borderId="1" xfId="0" applyNumberFormat="1" applyFont="1" applyBorder="1" applyAlignment="1">
      <alignment horizontal="right"/>
    </xf>
    <xf numFmtId="0" fontId="1" fillId="7" borderId="0" xfId="0" applyFont="1" applyFill="1" applyAlignment="1">
      <alignment horizontal="center"/>
    </xf>
    <xf numFmtId="0" fontId="3" fillId="7" borderId="0" xfId="0" applyFont="1" applyFill="1" applyBorder="1" applyAlignment="1">
      <alignment horizontal="center"/>
    </xf>
    <xf numFmtId="0" fontId="1" fillId="7" borderId="0" xfId="0" applyFont="1" applyFill="1" applyBorder="1" applyAlignment="1">
      <alignment horizontal="center"/>
    </xf>
    <xf numFmtId="0" fontId="5" fillId="9" borderId="2" xfId="0" applyFont="1" applyFill="1" applyBorder="1" applyAlignment="1">
      <alignment horizontal="center" vertical="center"/>
    </xf>
  </cellXfs>
  <cellStyles count="2">
    <cellStyle name="Moeda" xfId="1" builtinId="4"/>
    <cellStyle name="Normal" xfId="0" builtinId="0"/>
  </cellStyles>
  <dxfs count="41">
    <dxf>
      <numFmt numFmtId="167" formatCode="&quot;R$&quot;\ #,##0.00"/>
    </dxf>
    <dxf>
      <numFmt numFmtId="167" formatCode="&quot;R$&quot;\ #,##0.00"/>
    </dxf>
    <dxf>
      <numFmt numFmtId="167" formatCode="&quot;R$&quot;\ #,##0.0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7" formatCode="&quot;R$&quot;\ #,##0.00"/>
    </dxf>
    <dxf>
      <numFmt numFmtId="167" formatCode="&quot;R$&quot;\ #,##0.00"/>
    </dxf>
    <dxf>
      <numFmt numFmtId="167" formatCode="&quot;R$&quot;\ #,##0.0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7" formatCode="&quot;R$&quot;\ #,##0.00"/>
    </dxf>
    <dxf>
      <numFmt numFmtId="167" formatCode="&quot;R$&quot;\ #,##0.00"/>
    </dxf>
    <dxf>
      <numFmt numFmtId="167" formatCode="&quot;R$&quot;\ #,##0.0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7" formatCode="&quot;R$&quot;\ #,##0.00"/>
    </dxf>
    <dxf>
      <numFmt numFmtId="167" formatCode="&quot;R$&quot;\ #,##0.00"/>
    </dxf>
    <dxf>
      <numFmt numFmtId="167" formatCode="&quot;R$&quot;\ #,##0.0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7" formatCode="&quot;R$&quot;\ #,##0.00"/>
    </dxf>
    <dxf>
      <numFmt numFmtId="165" formatCode="&quot;R$&quot;\ #,##0.0"/>
    </dxf>
    <dxf>
      <numFmt numFmtId="165" formatCode="&quot;R$&quot;\ #,##0.0"/>
    </dxf>
    <dxf>
      <numFmt numFmtId="167" formatCode="&quot;R$&quot;\ #,##0.00"/>
    </dxf>
    <dxf>
      <numFmt numFmtId="167" formatCode="&quot;R$&quot;\ #,##0.0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4" formatCode="&quot;R$&quot;\ #,##0"/>
    </dxf>
    <dxf>
      <numFmt numFmtId="167" formatCode="&quot;R$&quot;\ #,##0.00"/>
    </dxf>
    <dxf>
      <numFmt numFmtId="167" formatCode="&quot;R$&quot;\ #,##0.00"/>
    </dxf>
    <dxf>
      <numFmt numFmtId="167" formatCode="&quot;R$&quot;\ #,##0.00"/>
    </dxf>
    <dxf>
      <font>
        <b val="0"/>
        <i val="0"/>
        <sz val="11"/>
        <name val="Franklin Gothic Medium"/>
        <scheme val="none"/>
      </font>
      <fill>
        <patternFill>
          <bgColor rgb="FF0070C0"/>
        </patternFill>
      </fill>
      <border>
        <left/>
        <right/>
        <top/>
        <bottom/>
      </border>
    </dxf>
  </dxfs>
  <tableStyles count="2" defaultTableStyle="TableStyleMedium2" defaultPivotStyle="PivotStyleLight16">
    <tableStyle name="Estilo de Segmentação de Dados 1" pivot="0" table="0" count="1">
      <tableStyleElement type="wholeTable" dxfId="40"/>
    </tableStyle>
    <tableStyle name="Estilo de Segmentação de Dados 2" pivot="0" table="0" count="1"/>
  </tableStyles>
  <colors>
    <mruColors>
      <color rgb="FFA9D0FF"/>
      <color rgb="FF37426F"/>
      <color rgb="FFAB0310"/>
      <color rgb="FF84020B"/>
      <color rgb="FFFF1D1D"/>
      <color rgb="FFFF5B5B"/>
      <color rgb="FFFB0B05"/>
      <color rgb="FF6A0209"/>
      <color rgb="FFA9D0D5"/>
      <color rgb="FF4D3E68"/>
    </mruColors>
  </colors>
  <extLst>
    <ext xmlns:x14="http://schemas.microsoft.com/office/spreadsheetml/2009/9/main" uri="{46F421CA-312F-682f-3DD2-61675219B42D}">
      <x14:dxfs count="1">
        <dxf>
          <fill>
            <patternFill patternType="none">
              <bgColor auto="1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Estilo de Segmentação de Dados 2">
          <x14:slicerStyleElements>
            <x14:slicerStyleElement type="hoveredUn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dash (RECUPERADO2HAHAHHAHAHAHAHHA) (Recuperado).xlsm]datas!Tabela dinâmica4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datas!$E$8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datas!$D$9:$D$21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datas!$E$9:$E$21</c:f>
              <c:numCache>
                <c:formatCode>"R$"\ #,##0</c:formatCode>
                <c:ptCount val="12"/>
                <c:pt idx="0">
                  <c:v>193940</c:v>
                </c:pt>
                <c:pt idx="1">
                  <c:v>194950</c:v>
                </c:pt>
                <c:pt idx="2">
                  <c:v>161845</c:v>
                </c:pt>
                <c:pt idx="3">
                  <c:v>213420</c:v>
                </c:pt>
                <c:pt idx="4">
                  <c:v>214590</c:v>
                </c:pt>
                <c:pt idx="5">
                  <c:v>204295</c:v>
                </c:pt>
                <c:pt idx="6">
                  <c:v>162525</c:v>
                </c:pt>
                <c:pt idx="7">
                  <c:v>136085</c:v>
                </c:pt>
                <c:pt idx="8">
                  <c:v>227175</c:v>
                </c:pt>
                <c:pt idx="9">
                  <c:v>202695</c:v>
                </c:pt>
                <c:pt idx="10">
                  <c:v>165750</c:v>
                </c:pt>
                <c:pt idx="11">
                  <c:v>289965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3E-438F-8D43-4271CF33F1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9785119"/>
        <c:axId val="1409782623"/>
      </c:lineChart>
      <c:catAx>
        <c:axId val="140978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9782623"/>
        <c:crosses val="autoZero"/>
        <c:auto val="1"/>
        <c:lblAlgn val="ctr"/>
        <c:lblOffset val="100"/>
        <c:noMultiLvlLbl val="0"/>
      </c:catAx>
      <c:valAx>
        <c:axId val="1409782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97851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dash (RECUPERADO2HAHAHHAHAHAHAHHA) (Recuperado).xlsm]vendas nas lojas!Tabela dinâmica3</c:name>
    <c:fmtId val="7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'vendas nas lojas'!$C$2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70-4647-A691-D7174143980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70-4647-A691-D7174143980B}"/>
              </c:ext>
            </c:extLst>
          </c:dPt>
          <c:cat>
            <c:strRef>
              <c:f>'vendas nas lojas'!$B$3:$B$5</c:f>
              <c:strCache>
                <c:ptCount val="2"/>
                <c:pt idx="0">
                  <c:v>loja1</c:v>
                </c:pt>
                <c:pt idx="1">
                  <c:v>loja2</c:v>
                </c:pt>
              </c:strCache>
            </c:strRef>
          </c:cat>
          <c:val>
            <c:numRef>
              <c:f>'vendas nas lojas'!$C$3:$C$5</c:f>
              <c:numCache>
                <c:formatCode>General</c:formatCode>
                <c:ptCount val="2"/>
                <c:pt idx="0">
                  <c:v>1064400</c:v>
                </c:pt>
                <c:pt idx="1">
                  <c:v>1302835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29-412C-B0EE-403F2245A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dash (RECUPERADO2HAHAHHAHAHAHAHHA) (Recuperado).xlsm]quantidades!Tabela dinâmica1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quantidades!$E$5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quantidades!$D$6:$D$18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quantidades!$E$6:$E$18</c:f>
              <c:numCache>
                <c:formatCode>General</c:formatCode>
                <c:ptCount val="12"/>
                <c:pt idx="0">
                  <c:v>3207</c:v>
                </c:pt>
                <c:pt idx="1">
                  <c:v>3311</c:v>
                </c:pt>
                <c:pt idx="2">
                  <c:v>2587</c:v>
                </c:pt>
                <c:pt idx="3">
                  <c:v>3291</c:v>
                </c:pt>
                <c:pt idx="4">
                  <c:v>3472</c:v>
                </c:pt>
                <c:pt idx="5">
                  <c:v>2539</c:v>
                </c:pt>
                <c:pt idx="6">
                  <c:v>2251</c:v>
                </c:pt>
                <c:pt idx="7">
                  <c:v>2000</c:v>
                </c:pt>
                <c:pt idx="8">
                  <c:v>3674</c:v>
                </c:pt>
                <c:pt idx="9">
                  <c:v>3344</c:v>
                </c:pt>
                <c:pt idx="10">
                  <c:v>2622</c:v>
                </c:pt>
                <c:pt idx="11">
                  <c:v>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D3E-499F-9A50-E1BCF7F8D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3489520"/>
        <c:axId val="1333485776"/>
      </c:barChart>
      <c:catAx>
        <c:axId val="133348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485776"/>
        <c:crosses val="autoZero"/>
        <c:auto val="1"/>
        <c:lblAlgn val="ctr"/>
        <c:lblOffset val="100"/>
        <c:noMultiLvlLbl val="0"/>
      </c:catAx>
      <c:valAx>
        <c:axId val="1333485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48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tx1">
        <a:lumMod val="65000"/>
        <a:lumOff val="3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[base de dados dash (RECUPERADO2HAHAHHAHAHAHAHHA) (Recuperado).xlsm]itens!Tabela dinâmica2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itens!$D$4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itens!$C$5:$C$9</c:f>
              <c:strCache>
                <c:ptCount val="4"/>
                <c:pt idx="0">
                  <c:v>bonés</c:v>
                </c:pt>
                <c:pt idx="1">
                  <c:v>óculos</c:v>
                </c:pt>
                <c:pt idx="2">
                  <c:v>bags</c:v>
                </c:pt>
                <c:pt idx="3">
                  <c:v>relógio</c:v>
                </c:pt>
              </c:strCache>
            </c:strRef>
          </c:cat>
          <c:val>
            <c:numRef>
              <c:f>itens!$D$5:$D$9</c:f>
              <c:numCache>
                <c:formatCode>"R$"\ #,##0</c:formatCode>
                <c:ptCount val="4"/>
                <c:pt idx="0">
                  <c:v>373425</c:v>
                </c:pt>
                <c:pt idx="1">
                  <c:v>592340</c:v>
                </c:pt>
                <c:pt idx="2">
                  <c:v>669760</c:v>
                </c:pt>
                <c:pt idx="3">
                  <c:v>731710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72-4E3F-B4A3-322A790D145F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40057791"/>
        <c:axId val="1240057375"/>
      </c:barChart>
      <c:catAx>
        <c:axId val="1240057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057375"/>
        <c:crosses val="autoZero"/>
        <c:auto val="1"/>
        <c:lblAlgn val="ctr"/>
        <c:lblOffset val="100"/>
        <c:noMultiLvlLbl val="0"/>
      </c:catAx>
      <c:valAx>
        <c:axId val="1240057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0577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[base de dados dash (RECUPERADO2HAHAHHAHAHAHAHHA) (Recuperado).xlsm]itens!Tabela dinâmica2</c:name>
    <c:fmtId val="4"/>
  </c:pivotSource>
  <c:chart>
    <c:autoTitleDeleted val="1"/>
    <c:pivotFmts>
      <c:pivotFmt>
        <c:idx val="0"/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A9D0FF"/>
          </a:solidFill>
          <a:ln>
            <a:solidFill>
              <a:srgbClr val="A9D0FF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</c:pivotFmt>
      <c:pivotFmt>
        <c:idx val="8"/>
        <c:spPr>
          <a:solidFill>
            <a:srgbClr val="AB0310"/>
          </a:solidFill>
          <a:ln>
            <a:solidFill>
              <a:srgbClr val="AB0310"/>
            </a:solidFill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</c:pivotFmt>
      <c:pivotFmt>
        <c:idx val="9"/>
        <c:spPr>
          <a:solidFill>
            <a:srgbClr val="AB0310"/>
          </a:solidFill>
          <a:ln>
            <a:solidFill>
              <a:srgbClr val="AB0310"/>
            </a:solidFill>
          </a:ln>
          <a:effectLst>
            <a:glow rad="101600">
              <a:srgbClr val="AB0310">
                <a:alpha val="60000"/>
              </a:srgbClr>
            </a:glow>
          </a:effectLst>
        </c:spPr>
      </c:pivotFmt>
      <c:pivotFmt>
        <c:idx val="10"/>
        <c:spPr>
          <a:gradFill rotWithShape="1"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  <c:marker>
          <c:symbol val="none"/>
        </c:marker>
      </c:pivotFmt>
      <c:pivotFmt>
        <c:idx val="11"/>
        <c:spPr>
          <a:gradFill rotWithShape="1"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  <c:pivotFmt>
        <c:idx val="12"/>
        <c:spPr>
          <a:gradFill rotWithShape="1"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  <c:pivotFmt>
        <c:idx val="13"/>
        <c:spPr>
          <a:gradFill rotWithShape="1"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8.5407667521727626E-2"/>
          <c:y val="6.2930206313212805E-2"/>
          <c:w val="0.86788955700320403"/>
          <c:h val="0.84359180346450602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itens!$D$4</c:f>
              <c:strCache>
                <c:ptCount val="1"/>
                <c:pt idx="0">
                  <c:v>Total</c:v>
                </c:pt>
              </c:strCache>
            </c:strRef>
          </c:tx>
          <c:spPr>
            <a:gradFill rotWithShape="1">
              <a:gsLst>
                <a:gs pos="0">
                  <a:srgbClr val="AB0310"/>
                </a:gs>
                <a:gs pos="100000">
                  <a:srgbClr val="FF1D1D"/>
                </a:gs>
              </a:gsLst>
              <a:path path="circle">
                <a:fillToRect l="100000" t="100000"/>
              </a:path>
            </a:gradFill>
            <a:ln>
              <a:solidFill>
                <a:srgbClr val="AB0310"/>
              </a:solidFill>
            </a:ln>
            <a:effectLst/>
          </c:spPr>
          <c:invertIfNegative val="0"/>
          <c:dLbls>
            <c:delete val="1"/>
          </c:dLbls>
          <c:cat>
            <c:strRef>
              <c:f>itens!$C$5:$C$9</c:f>
              <c:strCache>
                <c:ptCount val="4"/>
                <c:pt idx="0">
                  <c:v>bonés</c:v>
                </c:pt>
                <c:pt idx="1">
                  <c:v>óculos</c:v>
                </c:pt>
                <c:pt idx="2">
                  <c:v>bags</c:v>
                </c:pt>
                <c:pt idx="3">
                  <c:v>relógio</c:v>
                </c:pt>
              </c:strCache>
            </c:strRef>
          </c:cat>
          <c:val>
            <c:numRef>
              <c:f>itens!$D$5:$D$9</c:f>
              <c:numCache>
                <c:formatCode>"$"\ #.##0</c:formatCode>
                <c:ptCount val="4"/>
                <c:pt idx="0">
                  <c:v>373425</c:v>
                </c:pt>
                <c:pt idx="1">
                  <c:v>592340</c:v>
                </c:pt>
                <c:pt idx="2">
                  <c:v>669760</c:v>
                </c:pt>
                <c:pt idx="3">
                  <c:v>731710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3A-4E81-83EF-2DA5D0EA8CD6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1240057791"/>
        <c:axId val="1240057375"/>
      </c:barChart>
      <c:catAx>
        <c:axId val="124005779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057375"/>
        <c:crosses val="autoZero"/>
        <c:auto val="1"/>
        <c:lblAlgn val="ctr"/>
        <c:lblOffset val="100"/>
        <c:noMultiLvlLbl val="0"/>
      </c:catAx>
      <c:valAx>
        <c:axId val="1240057375"/>
        <c:scaling>
          <c:orientation val="minMax"/>
        </c:scaling>
        <c:delete val="0"/>
        <c:axPos val="b"/>
        <c:numFmt formatCode="&quot;R$&quot;\ 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4005779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dash (RECUPERADO2HAHAHHAHAHAHAHHA) (Recuperado).xlsm]datas!Tabela dinâmica4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28575" cap="rnd">
            <a:solidFill>
              <a:srgbClr val="AB0310"/>
            </a:solidFill>
            <a:round/>
          </a:ln>
          <a:effectLst>
            <a:glow rad="101600">
              <a:srgbClr val="AB0310">
                <a:alpha val="60000"/>
              </a:srgbClr>
            </a:glow>
          </a:effectLst>
        </c:spPr>
        <c:marker>
          <c:symbol val="none"/>
        </c:marker>
      </c:pivotFmt>
      <c:pivotFmt>
        <c:idx val="6"/>
        <c:marker>
          <c:spPr>
            <a:solidFill>
              <a:srgbClr val="AB0310"/>
            </a:solidFill>
            <a:ln w="9525">
              <a:solidFill>
                <a:srgbClr val="AB0310"/>
              </a:solidFill>
            </a:ln>
            <a:effectLst/>
          </c:spPr>
        </c:marker>
      </c:pivotFmt>
      <c:pivotFmt>
        <c:idx val="7"/>
        <c:spPr>
          <a:ln w="50800" cap="rnd">
            <a:gradFill flip="none" rotWithShape="1">
              <a:gsLst>
                <a:gs pos="0">
                  <a:srgbClr val="AB0310"/>
                </a:gs>
                <a:gs pos="100000">
                  <a:srgbClr val="FF1D1D"/>
                </a:gs>
              </a:gsLst>
              <a:path path="circle">
                <a:fillToRect l="100000" t="100000"/>
              </a:path>
              <a:tileRect r="-100000" b="-100000"/>
            </a:gradFill>
            <a:round/>
          </a:ln>
          <a:effectLst/>
        </c:spPr>
        <c:marker>
          <c:symbol val="none"/>
        </c:marker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datas!$E$8</c:f>
              <c:strCache>
                <c:ptCount val="1"/>
                <c:pt idx="0">
                  <c:v>Total</c:v>
                </c:pt>
              </c:strCache>
            </c:strRef>
          </c:tx>
          <c:spPr>
            <a:ln w="50800" cap="rnd">
              <a:gradFill flip="none" rotWithShape="1">
                <a:gsLst>
                  <a:gs pos="0">
                    <a:srgbClr val="AB0310"/>
                  </a:gs>
                  <a:gs pos="100000">
                    <a:srgbClr val="FF1D1D"/>
                  </a:gs>
                </a:gsLst>
                <a:path path="circle">
                  <a:fillToRect l="100000" t="100000"/>
                </a:path>
                <a:tileRect r="-100000" b="-100000"/>
              </a:gradFill>
              <a:round/>
            </a:ln>
            <a:effectLst/>
          </c:spPr>
          <c:marker>
            <c:symbol val="none"/>
          </c:marker>
          <c:cat>
            <c:strRef>
              <c:f>datas!$D$9:$D$21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datas!$E$9:$E$21</c:f>
              <c:numCache>
                <c:formatCode>"R$"\ #,##0</c:formatCode>
                <c:ptCount val="12"/>
                <c:pt idx="0">
                  <c:v>193940</c:v>
                </c:pt>
                <c:pt idx="1">
                  <c:v>194950</c:v>
                </c:pt>
                <c:pt idx="2">
                  <c:v>161845</c:v>
                </c:pt>
                <c:pt idx="3">
                  <c:v>213420</c:v>
                </c:pt>
                <c:pt idx="4">
                  <c:v>214590</c:v>
                </c:pt>
                <c:pt idx="5">
                  <c:v>204295</c:v>
                </c:pt>
                <c:pt idx="6">
                  <c:v>162525</c:v>
                </c:pt>
                <c:pt idx="7">
                  <c:v>136085</c:v>
                </c:pt>
                <c:pt idx="8">
                  <c:v>227175</c:v>
                </c:pt>
                <c:pt idx="9">
                  <c:v>202695</c:v>
                </c:pt>
                <c:pt idx="10">
                  <c:v>165750</c:v>
                </c:pt>
                <c:pt idx="11">
                  <c:v>289965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8EB9-436F-938D-D04DB1601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09785119"/>
        <c:axId val="1409782623"/>
      </c:lineChart>
      <c:catAx>
        <c:axId val="1409785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9782623"/>
        <c:crosses val="autoZero"/>
        <c:auto val="1"/>
        <c:lblAlgn val="ctr"/>
        <c:lblOffset val="100"/>
        <c:noMultiLvlLbl val="0"/>
      </c:catAx>
      <c:valAx>
        <c:axId val="140978262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&quot;R$&quot;\ 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09785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dash (RECUPERADO2HAHAHHAHAHAHAHHA) (Recuperado).xlsm]quantidades!Tabela dinâmica1</c:name>
    <c:fmtId val="8"/>
  </c:pivotSource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"/>
        <c:spPr>
          <a:gradFill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600" b="1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3"/>
        <c:spPr>
          <a:gradFill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  <c:pivotFmt>
        <c:idx val="4"/>
        <c:spPr>
          <a:gradFill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  <c:pivotFmt>
        <c:idx val="5"/>
        <c:spPr>
          <a:gradFill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  <c:pivotFmt>
        <c:idx val="6"/>
        <c:spPr>
          <a:gradFill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  <c:pivotFmt>
        <c:idx val="7"/>
        <c:spPr>
          <a:gradFill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  <c:pivotFmt>
        <c:idx val="8"/>
        <c:spPr>
          <a:gradFill>
            <a:gsLst>
              <a:gs pos="0">
                <a:srgbClr val="AB0310"/>
              </a:gs>
              <a:gs pos="100000">
                <a:srgbClr val="FF1D1D"/>
              </a:gs>
            </a:gsLst>
            <a:path path="circle">
              <a:fillToRect l="100000" t="100000"/>
            </a:path>
          </a:gradFill>
          <a:ln>
            <a:solidFill>
              <a:srgbClr val="AB0310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quantidades!$E$5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rgbClr val="AB0310"/>
                </a:gs>
                <a:gs pos="100000">
                  <a:srgbClr val="FF1D1D"/>
                </a:gs>
              </a:gsLst>
              <a:path path="circle">
                <a:fillToRect l="100000" t="100000"/>
              </a:path>
            </a:gradFill>
            <a:ln>
              <a:solidFill>
                <a:srgbClr val="AB0310"/>
              </a:solidFill>
            </a:ln>
            <a:effectLst/>
          </c:spPr>
          <c:invertIfNegative val="0"/>
          <c:dPt>
            <c:idx val="10"/>
            <c:invertIfNegative val="0"/>
            <c:bubble3D val="0"/>
            <c:spPr>
              <a:gradFill>
                <a:gsLst>
                  <a:gs pos="0">
                    <a:srgbClr val="AB0310"/>
                  </a:gs>
                  <a:gs pos="100000">
                    <a:srgbClr val="FF1D1D"/>
                  </a:gs>
                </a:gsLst>
                <a:path path="circle">
                  <a:fillToRect l="100000" t="100000"/>
                </a:path>
              </a:gradFill>
              <a:ln>
                <a:solidFill>
                  <a:srgbClr val="AB0310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E9F-4FF0-9922-3ED583231D0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quantidades!$D$6:$D$18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quantidades!$E$6:$E$18</c:f>
              <c:numCache>
                <c:formatCode>General</c:formatCode>
                <c:ptCount val="12"/>
                <c:pt idx="0">
                  <c:v>3207</c:v>
                </c:pt>
                <c:pt idx="1">
                  <c:v>3311</c:v>
                </c:pt>
                <c:pt idx="2">
                  <c:v>2587</c:v>
                </c:pt>
                <c:pt idx="3">
                  <c:v>3291</c:v>
                </c:pt>
                <c:pt idx="4">
                  <c:v>3472</c:v>
                </c:pt>
                <c:pt idx="5">
                  <c:v>2539</c:v>
                </c:pt>
                <c:pt idx="6">
                  <c:v>2251</c:v>
                </c:pt>
                <c:pt idx="7">
                  <c:v>2000</c:v>
                </c:pt>
                <c:pt idx="8">
                  <c:v>3674</c:v>
                </c:pt>
                <c:pt idx="9">
                  <c:v>3344</c:v>
                </c:pt>
                <c:pt idx="10">
                  <c:v>2622</c:v>
                </c:pt>
                <c:pt idx="11">
                  <c:v>4228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D9-4FEB-BE5A-3309157DDF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33489520"/>
        <c:axId val="1333485776"/>
      </c:barChart>
      <c:catAx>
        <c:axId val="1333489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485776"/>
        <c:crosses val="autoZero"/>
        <c:auto val="1"/>
        <c:lblAlgn val="ctr"/>
        <c:lblOffset val="100"/>
        <c:noMultiLvlLbl val="0"/>
      </c:catAx>
      <c:valAx>
        <c:axId val="13334857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3348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[base de dados dash (RECUPERADO2HAHAHHAHAHAHAHHA) (Recuperado).xlsm]vendas nas lojas!Tabela dinâmica3</c:name>
    <c:fmtId val="15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dLbl>
          <c:idx val="0"/>
          <c:tx>
            <c:rich>
              <a:bodyPr/>
              <a:lstStyle/>
              <a:p>
                <a:fld id="{23D608B5-39A5-47C8-BD2F-6E29D5FE89D7}" type="VALUE">
                  <a:rPr lang="en-US">
                    <a:solidFill>
                      <a:schemeClr val="bg1"/>
                    </a:solidFill>
                  </a:rPr>
                  <a:pPr/>
                  <a:t>[VALOR]</a:t>
                </a:fld>
                <a:endParaRPr lang="pt-BR"/>
              </a:p>
            </c:rich>
          </c:tx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2"/>
        <c:dLbl>
          <c:idx val="0"/>
          <c:tx>
            <c:rich>
              <a:bodyPr/>
              <a:lstStyle/>
              <a:p>
                <a:fld id="{EF64DFCC-1596-436C-9D22-FEF2A0577CCB}" type="VALUE">
                  <a:rPr lang="en-US">
                    <a:solidFill>
                      <a:schemeClr val="bg1"/>
                    </a:solidFill>
                  </a:rPr>
                  <a:pPr/>
                  <a:t>[VALOR]</a:t>
                </a:fld>
                <a:endParaRPr lang="pt-BR"/>
              </a:p>
            </c:rich>
          </c:tx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dlblFieldTable/>
              <c15:showDataLabelsRange val="0"/>
            </c:ext>
          </c:extLst>
        </c:dLbl>
      </c:pivotFmt>
      <c:pivotFmt>
        <c:idx val="13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37426F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rgbClr val="37426F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rgbClr val="37426F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rgbClr val="37426F"/>
          </a:solidFill>
          <a:ln w="19050">
            <a:noFill/>
          </a:ln>
          <a:effectLst/>
        </c:spPr>
        <c:marker>
          <c:symbol val="none"/>
        </c:marker>
        <c:dLbl>
          <c:idx val="0"/>
          <c:layout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40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bestFit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layout/>
            </c:ext>
          </c:extLst>
        </c:dLbl>
      </c:pivotFmt>
      <c:pivotFmt>
        <c:idx val="18"/>
        <c:spPr>
          <a:solidFill>
            <a:srgbClr val="AB0310"/>
          </a:solidFill>
          <a:ln w="19050">
            <a:noFill/>
          </a:ln>
          <a:effectLst/>
        </c:spPr>
      </c:pivotFmt>
      <c:pivotFmt>
        <c:idx val="19"/>
        <c:spPr>
          <a:solidFill>
            <a:srgbClr val="37426F"/>
          </a:solidFill>
          <a:ln w="19050">
            <a:noFill/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'vendas nas lojas'!$C$2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37426F"/>
            </a:solidFill>
            <a:ln>
              <a:noFill/>
            </a:ln>
          </c:spPr>
          <c:dPt>
            <c:idx val="0"/>
            <c:bubble3D val="0"/>
            <c:spPr>
              <a:solidFill>
                <a:srgbClr val="37426F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178-47E7-A872-B718D1AC6D00}"/>
              </c:ext>
            </c:extLst>
          </c:dPt>
          <c:dPt>
            <c:idx val="1"/>
            <c:bubble3D val="0"/>
            <c:spPr>
              <a:solidFill>
                <a:srgbClr val="AB031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178-47E7-A872-B718D1AC6D00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'vendas nas lojas'!$B$3:$B$5</c:f>
              <c:strCache>
                <c:ptCount val="2"/>
                <c:pt idx="0">
                  <c:v>loja1</c:v>
                </c:pt>
                <c:pt idx="1">
                  <c:v>loja2</c:v>
                </c:pt>
              </c:strCache>
            </c:strRef>
          </c:cat>
          <c:val>
            <c:numRef>
              <c:f>'vendas nas lojas'!$C$3:$C$5</c:f>
              <c:numCache>
                <c:formatCode>General</c:formatCode>
                <c:ptCount val="2"/>
                <c:pt idx="0">
                  <c:v>1064400</c:v>
                </c:pt>
                <c:pt idx="1">
                  <c:v>1302835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178-47E7-A872-B718D1AC6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5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461962</xdr:colOff>
      <xdr:row>7</xdr:row>
      <xdr:rowOff>28575</xdr:rowOff>
    </xdr:from>
    <xdr:to>
      <xdr:col>14</xdr:col>
      <xdr:colOff>157162</xdr:colOff>
      <xdr:row>21</xdr:row>
      <xdr:rowOff>104775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171450</xdr:colOff>
      <xdr:row>14</xdr:row>
      <xdr:rowOff>19050</xdr:rowOff>
    </xdr:from>
    <xdr:to>
      <xdr:col>4</xdr:col>
      <xdr:colOff>190500</xdr:colOff>
      <xdr:row>27</xdr:row>
      <xdr:rowOff>66675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itens 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ns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90650" y="26860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76200</xdr:colOff>
      <xdr:row>14</xdr:row>
      <xdr:rowOff>171450</xdr:rowOff>
    </xdr:from>
    <xdr:to>
      <xdr:col>19</xdr:col>
      <xdr:colOff>381000</xdr:colOff>
      <xdr:row>29</xdr:row>
      <xdr:rowOff>57150</xdr:rowOff>
    </xdr:to>
    <xdr:graphicFrame macro="">
      <xdr:nvGraphicFramePr>
        <xdr:cNvPr id="3" name="Gráfico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2</xdr:row>
      <xdr:rowOff>28575</xdr:rowOff>
    </xdr:from>
    <xdr:to>
      <xdr:col>17</xdr:col>
      <xdr:colOff>95250</xdr:colOff>
      <xdr:row>16</xdr:row>
      <xdr:rowOff>104775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604837</xdr:colOff>
      <xdr:row>0</xdr:row>
      <xdr:rowOff>180975</xdr:rowOff>
    </xdr:from>
    <xdr:to>
      <xdr:col>17</xdr:col>
      <xdr:colOff>47625</xdr:colOff>
      <xdr:row>15</xdr:row>
      <xdr:rowOff>66675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</xdr:col>
      <xdr:colOff>9525</xdr:colOff>
      <xdr:row>9</xdr:row>
      <xdr:rowOff>161925</xdr:rowOff>
    </xdr:from>
    <xdr:to>
      <xdr:col>3</xdr:col>
      <xdr:colOff>638175</xdr:colOff>
      <xdr:row>23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data/mês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/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5" y="187642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612320</xdr:colOff>
      <xdr:row>13</xdr:row>
      <xdr:rowOff>1</xdr:rowOff>
    </xdr:from>
    <xdr:to>
      <xdr:col>9</xdr:col>
      <xdr:colOff>13606</xdr:colOff>
      <xdr:row>15</xdr:row>
      <xdr:rowOff>95251</xdr:rowOff>
    </xdr:to>
    <xdr:sp macro="[0]!SALVAR" textlink="">
      <xdr:nvSpPr>
        <xdr:cNvPr id="2" name="Retângulo 1"/>
        <xdr:cNvSpPr/>
      </xdr:nvSpPr>
      <xdr:spPr>
        <a:xfrm>
          <a:off x="5068659" y="2476501"/>
          <a:ext cx="1836965" cy="476250"/>
        </a:xfrm>
        <a:prstGeom prst="rect">
          <a:avLst/>
        </a:prstGeom>
        <a:solidFill>
          <a:srgbClr val="A9D0FF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Franklin Gothic Heavy" panose="020B0903020102020204" pitchFamily="34" charset="0"/>
            </a:rPr>
            <a:t>salvar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26458</xdr:colOff>
      <xdr:row>0</xdr:row>
      <xdr:rowOff>0</xdr:rowOff>
    </xdr:from>
    <xdr:to>
      <xdr:col>4</xdr:col>
      <xdr:colOff>74082</xdr:colOff>
      <xdr:row>42</xdr:row>
      <xdr:rowOff>31750</xdr:rowOff>
    </xdr:to>
    <xdr:sp macro="" textlink="">
      <xdr:nvSpPr>
        <xdr:cNvPr id="2" name="Retângulo 1"/>
        <xdr:cNvSpPr/>
      </xdr:nvSpPr>
      <xdr:spPr>
        <a:xfrm>
          <a:off x="26458" y="0"/>
          <a:ext cx="2502957" cy="8032750"/>
        </a:xfrm>
        <a:prstGeom prst="rect">
          <a:avLst/>
        </a:prstGeom>
        <a:solidFill>
          <a:srgbClr val="37426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0</xdr:col>
      <xdr:colOff>428626</xdr:colOff>
      <xdr:row>0</xdr:row>
      <xdr:rowOff>0</xdr:rowOff>
    </xdr:from>
    <xdr:to>
      <xdr:col>3</xdr:col>
      <xdr:colOff>104776</xdr:colOff>
      <xdr:row>7</xdr:row>
      <xdr:rowOff>171450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6" y="0"/>
          <a:ext cx="1504950" cy="1504950"/>
        </a:xfrm>
        <a:prstGeom prst="rect">
          <a:avLst/>
        </a:prstGeom>
      </xdr:spPr>
    </xdr:pic>
    <xdr:clientData/>
  </xdr:twoCellAnchor>
  <xdr:twoCellAnchor>
    <xdr:from>
      <xdr:col>4</xdr:col>
      <xdr:colOff>419100</xdr:colOff>
      <xdr:row>0</xdr:row>
      <xdr:rowOff>85725</xdr:rowOff>
    </xdr:from>
    <xdr:to>
      <xdr:col>20</xdr:col>
      <xdr:colOff>465666</xdr:colOff>
      <xdr:row>20</xdr:row>
      <xdr:rowOff>116417</xdr:rowOff>
    </xdr:to>
    <xdr:grpSp>
      <xdr:nvGrpSpPr>
        <xdr:cNvPr id="5" name="Agrupar 4"/>
        <xdr:cNvGrpSpPr/>
      </xdr:nvGrpSpPr>
      <xdr:grpSpPr>
        <a:xfrm>
          <a:off x="2874433" y="85725"/>
          <a:ext cx="9867900" cy="3840692"/>
          <a:chOff x="1952624" y="66675"/>
          <a:chExt cx="8801101" cy="3381375"/>
        </a:xfrm>
        <a:solidFill>
          <a:schemeClr val="tx1">
            <a:lumMod val="65000"/>
            <a:lumOff val="35000"/>
          </a:schemeClr>
        </a:solidFill>
        <a:effectLst/>
      </xdr:grpSpPr>
      <xdr:sp macro="" textlink="">
        <xdr:nvSpPr>
          <xdr:cNvPr id="4" name="Retângulo Arredondado 3"/>
          <xdr:cNvSpPr/>
        </xdr:nvSpPr>
        <xdr:spPr>
          <a:xfrm>
            <a:off x="1962149" y="66675"/>
            <a:ext cx="8791576" cy="3381375"/>
          </a:xfrm>
          <a:prstGeom prst="roundRect">
            <a:avLst>
              <a:gd name="adj" fmla="val 0"/>
            </a:avLst>
          </a:prstGeom>
          <a:grpFill/>
          <a:ln>
            <a:solidFill>
              <a:schemeClr val="bg2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2000">
                <a:latin typeface="Franklin Gothic Medium" panose="020B0603020102020204" pitchFamily="34" charset="0"/>
              </a:rPr>
              <a:t>itens</a:t>
            </a:r>
            <a:r>
              <a:rPr lang="pt-BR" sz="2000" baseline="0">
                <a:latin typeface="Franklin Gothic Medium" panose="020B0603020102020204" pitchFamily="34" charset="0"/>
              </a:rPr>
              <a:t> vendidos: </a:t>
            </a:r>
            <a:endParaRPr lang="pt-BR" sz="2000">
              <a:latin typeface="Franklin Gothic Medium" panose="020B0603020102020204" pitchFamily="34" charset="0"/>
            </a:endParaRPr>
          </a:p>
        </xdr:txBody>
      </xdr:sp>
      <xdr:graphicFrame macro="">
        <xdr:nvGraphicFramePr>
          <xdr:cNvPr id="19" name="Gráfico 18"/>
          <xdr:cNvGraphicFramePr>
            <a:graphicFrameLocks/>
          </xdr:cNvGraphicFramePr>
        </xdr:nvGraphicFramePr>
        <xdr:xfrm>
          <a:off x="1952624" y="114301"/>
          <a:ext cx="8791576" cy="322897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>
    <xdr:from>
      <xdr:col>4</xdr:col>
      <xdr:colOff>428626</xdr:colOff>
      <xdr:row>21</xdr:row>
      <xdr:rowOff>190499</xdr:rowOff>
    </xdr:from>
    <xdr:to>
      <xdr:col>20</xdr:col>
      <xdr:colOff>475191</xdr:colOff>
      <xdr:row>41</xdr:row>
      <xdr:rowOff>169332</xdr:rowOff>
    </xdr:to>
    <xdr:grpSp>
      <xdr:nvGrpSpPr>
        <xdr:cNvPr id="8" name="Agrupar 7"/>
        <xdr:cNvGrpSpPr/>
      </xdr:nvGrpSpPr>
      <xdr:grpSpPr>
        <a:xfrm>
          <a:off x="2883959" y="4190999"/>
          <a:ext cx="9867899" cy="3788833"/>
          <a:chOff x="1952626" y="3619500"/>
          <a:chExt cx="8801099" cy="2828925"/>
        </a:xfrm>
        <a:solidFill>
          <a:schemeClr val="tx1">
            <a:lumMod val="65000"/>
            <a:lumOff val="35000"/>
          </a:schemeClr>
        </a:solidFill>
      </xdr:grpSpPr>
      <xdr:sp macro="" textlink="">
        <xdr:nvSpPr>
          <xdr:cNvPr id="6" name="Retângulo Arredondado 5"/>
          <xdr:cNvSpPr/>
        </xdr:nvSpPr>
        <xdr:spPr>
          <a:xfrm>
            <a:off x="1952626" y="3619500"/>
            <a:ext cx="8801099" cy="2828925"/>
          </a:xfrm>
          <a:prstGeom prst="roundRect">
            <a:avLst>
              <a:gd name="adj" fmla="val 0"/>
            </a:avLst>
          </a:prstGeom>
          <a:grpFill/>
          <a:ln>
            <a:solidFill>
              <a:schemeClr val="bg2">
                <a:lumMod val="50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/>
              <a:t> </a:t>
            </a:r>
            <a:r>
              <a:rPr lang="pt-BR" sz="2000">
                <a:latin typeface="Franklin Gothic Medium" panose="020B0603020102020204" pitchFamily="34" charset="0"/>
              </a:rPr>
              <a:t>vendas</a:t>
            </a:r>
            <a:r>
              <a:rPr lang="pt-BR" sz="2000" baseline="0">
                <a:latin typeface="Franklin Gothic Medium" panose="020B0603020102020204" pitchFamily="34" charset="0"/>
              </a:rPr>
              <a:t> no meses:</a:t>
            </a:r>
            <a:endParaRPr lang="pt-BR" sz="1100">
              <a:latin typeface="Franklin Gothic Medium" panose="020B0603020102020204" pitchFamily="34" charset="0"/>
            </a:endParaRPr>
          </a:p>
        </xdr:txBody>
      </xdr:sp>
      <xdr:graphicFrame macro="">
        <xdr:nvGraphicFramePr>
          <xdr:cNvPr id="20" name="Gráfico 19"/>
          <xdr:cNvGraphicFramePr>
            <a:graphicFrameLocks/>
          </xdr:cNvGraphicFramePr>
        </xdr:nvGraphicFramePr>
        <xdr:xfrm>
          <a:off x="2105025" y="4048125"/>
          <a:ext cx="8553450" cy="22669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</xdr:grpSp>
    <xdr:clientData/>
  </xdr:twoCellAnchor>
  <xdr:twoCellAnchor editAs="oneCell">
    <xdr:from>
      <xdr:col>0</xdr:col>
      <xdr:colOff>0</xdr:colOff>
      <xdr:row>9</xdr:row>
      <xdr:rowOff>26457</xdr:rowOff>
    </xdr:from>
    <xdr:to>
      <xdr:col>4</xdr:col>
      <xdr:colOff>95236</xdr:colOff>
      <xdr:row>15</xdr:row>
      <xdr:rowOff>126999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8" name="data/mês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ata/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740957"/>
              <a:ext cx="2550569" cy="124354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21</xdr:col>
      <xdr:colOff>148167</xdr:colOff>
      <xdr:row>0</xdr:row>
      <xdr:rowOff>85725</xdr:rowOff>
    </xdr:from>
    <xdr:to>
      <xdr:col>31</xdr:col>
      <xdr:colOff>550335</xdr:colOff>
      <xdr:row>20</xdr:row>
      <xdr:rowOff>106893</xdr:rowOff>
    </xdr:to>
    <xdr:grpSp>
      <xdr:nvGrpSpPr>
        <xdr:cNvPr id="9" name="Agrupar 8"/>
        <xdr:cNvGrpSpPr/>
      </xdr:nvGrpSpPr>
      <xdr:grpSpPr>
        <a:xfrm>
          <a:off x="13038667" y="85725"/>
          <a:ext cx="6540501" cy="3831168"/>
          <a:chOff x="12110508" y="95249"/>
          <a:chExt cx="5785910" cy="3362325"/>
        </a:xfrm>
      </xdr:grpSpPr>
      <xdr:sp macro="" textlink="">
        <xdr:nvSpPr>
          <xdr:cNvPr id="22" name="Retângulo Arredondado 21"/>
          <xdr:cNvSpPr/>
        </xdr:nvSpPr>
        <xdr:spPr>
          <a:xfrm>
            <a:off x="12110508" y="95249"/>
            <a:ext cx="5785910" cy="3362325"/>
          </a:xfrm>
          <a:prstGeom prst="roundRect">
            <a:avLst>
              <a:gd name="adj" fmla="val 0"/>
            </a:avLst>
          </a:prstGeom>
          <a:solidFill>
            <a:schemeClr val="tx1">
              <a:lumMod val="65000"/>
              <a:lumOff val="35000"/>
            </a:schemeClr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latin typeface="Franklin Gothic Medium" panose="020B0603020102020204" pitchFamily="34" charset="0"/>
              </a:rPr>
              <a:t> </a:t>
            </a:r>
            <a:r>
              <a:rPr lang="pt-BR" sz="2000">
                <a:latin typeface="Franklin Gothic Medium" panose="020B0603020102020204" pitchFamily="34" charset="0"/>
              </a:rPr>
              <a:t>quantidades</a:t>
            </a:r>
            <a:r>
              <a:rPr lang="pt-BR" sz="2000" baseline="0">
                <a:latin typeface="Franklin Gothic Medium" panose="020B0603020102020204" pitchFamily="34" charset="0"/>
              </a:rPr>
              <a:t> vendidas</a:t>
            </a:r>
            <a:r>
              <a:rPr lang="pt-BR" sz="2000">
                <a:latin typeface="Franklin Gothic Medium" panose="020B0603020102020204" pitchFamily="34" charset="0"/>
              </a:rPr>
              <a:t>:</a:t>
            </a:r>
          </a:p>
        </xdr:txBody>
      </xdr:sp>
      <xdr:graphicFrame macro="">
        <xdr:nvGraphicFramePr>
          <xdr:cNvPr id="25" name="Gráfico 24"/>
          <xdr:cNvGraphicFramePr>
            <a:graphicFrameLocks/>
          </xdr:cNvGraphicFramePr>
        </xdr:nvGraphicFramePr>
        <xdr:xfrm>
          <a:off x="12158133" y="457200"/>
          <a:ext cx="5690659" cy="29717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 editAs="oneCell">
    <xdr:from>
      <xdr:col>0</xdr:col>
      <xdr:colOff>0</xdr:colOff>
      <xdr:row>17</xdr:row>
      <xdr:rowOff>12702</xdr:rowOff>
    </xdr:from>
    <xdr:to>
      <xdr:col>4</xdr:col>
      <xdr:colOff>95250</xdr:colOff>
      <xdr:row>28</xdr:row>
      <xdr:rowOff>137583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1" name="itens  1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tens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3251202"/>
              <a:ext cx="2550583" cy="222038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21</xdr:col>
      <xdr:colOff>138641</xdr:colOff>
      <xdr:row>21</xdr:row>
      <xdr:rowOff>190499</xdr:rowOff>
    </xdr:from>
    <xdr:to>
      <xdr:col>31</xdr:col>
      <xdr:colOff>540809</xdr:colOff>
      <xdr:row>41</xdr:row>
      <xdr:rowOff>169332</xdr:rowOff>
    </xdr:to>
    <xdr:grpSp>
      <xdr:nvGrpSpPr>
        <xdr:cNvPr id="10" name="Agrupar 9"/>
        <xdr:cNvGrpSpPr/>
      </xdr:nvGrpSpPr>
      <xdr:grpSpPr>
        <a:xfrm>
          <a:off x="13029141" y="4190999"/>
          <a:ext cx="6540501" cy="3788833"/>
          <a:chOff x="12100982" y="4106333"/>
          <a:chExt cx="5785910" cy="3788833"/>
        </a:xfrm>
      </xdr:grpSpPr>
      <xdr:sp macro="" textlink="">
        <xdr:nvSpPr>
          <xdr:cNvPr id="7" name="Retângulo Arredondado 6"/>
          <xdr:cNvSpPr/>
        </xdr:nvSpPr>
        <xdr:spPr>
          <a:xfrm>
            <a:off x="12100982" y="4106333"/>
            <a:ext cx="5785910" cy="3788833"/>
          </a:xfrm>
          <a:prstGeom prst="roundRect">
            <a:avLst>
              <a:gd name="adj" fmla="val 0"/>
            </a:avLst>
          </a:prstGeom>
          <a:solidFill>
            <a:schemeClr val="tx1">
              <a:lumMod val="65000"/>
              <a:lumOff val="35000"/>
            </a:schemeClr>
          </a:solidFill>
          <a:ln>
            <a:solidFill>
              <a:schemeClr val="tx1">
                <a:lumMod val="65000"/>
                <a:lumOff val="35000"/>
              </a:schemeClr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100">
                <a:latin typeface="Franklin Gothic Medium" panose="020B0603020102020204" pitchFamily="34" charset="0"/>
              </a:rPr>
              <a:t> </a:t>
            </a:r>
            <a:r>
              <a:rPr lang="pt-BR" sz="2000">
                <a:latin typeface="Franklin Gothic Medium" panose="020B0603020102020204" pitchFamily="34" charset="0"/>
              </a:rPr>
              <a:t>vendas nas lojas:</a:t>
            </a:r>
          </a:p>
        </xdr:txBody>
      </xdr:sp>
      <xdr:graphicFrame macro="">
        <xdr:nvGraphicFramePr>
          <xdr:cNvPr id="23" name="Gráfico 22"/>
          <xdr:cNvGraphicFramePr>
            <a:graphicFrameLocks/>
          </xdr:cNvGraphicFramePr>
        </xdr:nvGraphicFramePr>
        <xdr:xfrm>
          <a:off x="12688358" y="4701117"/>
          <a:ext cx="4605866" cy="2743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>
    <xdr:from>
      <xdr:col>0</xdr:col>
      <xdr:colOff>0</xdr:colOff>
      <xdr:row>15</xdr:row>
      <xdr:rowOff>116416</xdr:rowOff>
    </xdr:from>
    <xdr:to>
      <xdr:col>4</xdr:col>
      <xdr:colOff>74084</xdr:colOff>
      <xdr:row>17</xdr:row>
      <xdr:rowOff>31749</xdr:rowOff>
    </xdr:to>
    <xdr:sp macro="" textlink="">
      <xdr:nvSpPr>
        <xdr:cNvPr id="11" name="Retângulo 10"/>
        <xdr:cNvSpPr/>
      </xdr:nvSpPr>
      <xdr:spPr>
        <a:xfrm>
          <a:off x="0" y="2973916"/>
          <a:ext cx="2529417" cy="296333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>
              <a:solidFill>
                <a:schemeClr val="tx1"/>
              </a:solidFill>
              <a:latin typeface="Franklin Gothic Heavy" panose="020B0903020102020204" pitchFamily="34" charset="0"/>
            </a:rPr>
            <a:t>itens:</a:t>
          </a:r>
          <a:r>
            <a:rPr lang="pt-BR" sz="1100" baseline="0">
              <a:solidFill>
                <a:schemeClr val="tx1"/>
              </a:solidFill>
            </a:rPr>
            <a:t> </a:t>
          </a:r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0</xdr:colOff>
      <xdr:row>7</xdr:row>
      <xdr:rowOff>110066</xdr:rowOff>
    </xdr:from>
    <xdr:to>
      <xdr:col>4</xdr:col>
      <xdr:colOff>74084</xdr:colOff>
      <xdr:row>9</xdr:row>
      <xdr:rowOff>25399</xdr:rowOff>
    </xdr:to>
    <xdr:sp macro="" textlink="">
      <xdr:nvSpPr>
        <xdr:cNvPr id="24" name="Retângulo 23"/>
        <xdr:cNvSpPr/>
      </xdr:nvSpPr>
      <xdr:spPr>
        <a:xfrm>
          <a:off x="0" y="1443566"/>
          <a:ext cx="2529417" cy="296333"/>
        </a:xfrm>
        <a:prstGeom prst="rect">
          <a:avLst/>
        </a:prstGeom>
        <a:solidFill>
          <a:srgbClr val="AB0310"/>
        </a:solidFill>
        <a:ln>
          <a:solidFill>
            <a:srgbClr val="AB03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14816</xdr:colOff>
      <xdr:row>28</xdr:row>
      <xdr:rowOff>120649</xdr:rowOff>
    </xdr:from>
    <xdr:to>
      <xdr:col>4</xdr:col>
      <xdr:colOff>88900</xdr:colOff>
      <xdr:row>30</xdr:row>
      <xdr:rowOff>35982</xdr:rowOff>
    </xdr:to>
    <xdr:sp macro="" textlink="">
      <xdr:nvSpPr>
        <xdr:cNvPr id="26" name="Retângulo 25"/>
        <xdr:cNvSpPr/>
      </xdr:nvSpPr>
      <xdr:spPr>
        <a:xfrm>
          <a:off x="14816" y="5454649"/>
          <a:ext cx="2529417" cy="296333"/>
        </a:xfrm>
        <a:prstGeom prst="rect">
          <a:avLst/>
        </a:prstGeom>
        <a:solidFill>
          <a:srgbClr val="AB0310"/>
        </a:solidFill>
        <a:ln>
          <a:solidFill>
            <a:srgbClr val="AB031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Turma Manha" refreshedDate="45468.352777546294" createdVersion="6" refreshedVersion="6" minRefreshableVersion="3" recordCount="180">
  <cacheSource type="worksheet">
    <worksheetSource ref="B1:I181" sheet="base de dados juntas"/>
  </cacheSource>
  <cacheFields count="8">
    <cacheField name="itens " numFmtId="0">
      <sharedItems containsBlank="1" count="7">
        <s v="bonés"/>
        <s v="óculos"/>
        <s v="bags"/>
        <s v="relógio"/>
        <m u="1"/>
        <s v="Boné" u="1"/>
        <s v="Bag" u="1"/>
      </sharedItems>
    </cacheField>
    <cacheField name="estado" numFmtId="0">
      <sharedItems/>
    </cacheField>
    <cacheField name="valor unt" numFmtId="166">
      <sharedItems containsSemiMixedTypes="0" containsString="0" containsNumber="1" containsInteger="1" minValue="20" maxValue="150"/>
    </cacheField>
    <cacheField name="vendidos " numFmtId="0">
      <sharedItems containsSemiMixedTypes="0" containsString="0" containsNumber="1" containsInteger="1" minValue="8" maxValue="862"/>
    </cacheField>
    <cacheField name="estoque " numFmtId="0">
      <sharedItems containsSemiMixedTypes="0" containsString="0" containsNumber="1" containsInteger="1" minValue="0" maxValue="266" count="87">
        <n v="266"/>
        <n v="67"/>
        <n v="0"/>
        <n v="50"/>
        <n v="20"/>
        <n v="140"/>
        <n v="142"/>
        <n v="105"/>
        <n v="106"/>
        <n v="52"/>
        <n v="102"/>
        <n v="90"/>
        <n v="65"/>
        <n v="78"/>
        <n v="98"/>
        <n v="100"/>
        <n v="89"/>
        <n v="74"/>
        <n v="64"/>
        <n v="150"/>
        <n v="46"/>
        <n v="48"/>
        <n v="15"/>
        <n v="3"/>
        <n v="45"/>
        <n v="43"/>
        <n v="28"/>
        <n v="25"/>
        <n v="47"/>
        <n v="54"/>
        <n v="69"/>
        <n v="13"/>
        <n v="18"/>
        <n v="16"/>
        <n v="23"/>
        <n v="7"/>
        <n v="12"/>
        <n v="135" u="1"/>
        <n v="57" u="1"/>
        <n v="34" u="1"/>
        <n v="75" u="1"/>
        <n v="125" u="1"/>
        <n v="193" u="1"/>
        <n v="36" u="1"/>
        <n v="172" u="1"/>
        <n v="38" u="1"/>
        <n v="83" u="1"/>
        <n v="14" u="1"/>
        <n v="63" u="1"/>
        <n v="87" u="1"/>
        <n v="167" u="1"/>
        <n v="146" u="1"/>
        <n v="42" u="1"/>
        <n v="175" u="1"/>
        <n v="44" u="1"/>
        <n v="120" u="1"/>
        <n v="212" u="1"/>
        <n v="6" u="1"/>
        <n v="17" u="1"/>
        <n v="178" u="1"/>
        <n v="157" u="1"/>
        <n v="19" u="1"/>
        <n v="173" u="1"/>
        <n v="56" u="1"/>
        <n v="73" u="1"/>
        <n v="58" u="1"/>
        <n v="123" u="1"/>
        <n v="35" u="1"/>
        <n v="22" u="1"/>
        <n v="147" u="1"/>
        <n v="37" u="1"/>
        <n v="134" u="1"/>
        <n v="39" u="1"/>
        <n v="68" u="1"/>
        <n v="72" u="1"/>
        <n v="158" u="1"/>
        <n v="97" u="1"/>
        <n v="27" u="1"/>
        <n v="187" u="1"/>
        <n v="76" u="1"/>
        <n v="145" u="1"/>
        <n v="153" u="1"/>
        <n v="109" u="1"/>
        <n v="53" u="1"/>
        <n v="55" u="1"/>
        <n v="177" u="1"/>
        <n v="156" u="1"/>
      </sharedItems>
    </cacheField>
    <cacheField name="data/mês" numFmtId="0">
      <sharedItems containsBlank="1" count="13">
        <s v="abril"/>
        <s v="maio"/>
        <s v="março"/>
        <s v="fevereiro"/>
        <s v="janeiro"/>
        <s v="outubro"/>
        <s v="julho"/>
        <s v="dezembro"/>
        <s v="novembro"/>
        <s v="setembro"/>
        <s v="agosto"/>
        <s v="junho"/>
        <m u="1"/>
      </sharedItems>
    </cacheField>
    <cacheField name="vendas nas lojas" numFmtId="0">
      <sharedItems containsBlank="1" count="3">
        <s v="loja2"/>
        <s v="loja1"/>
        <m u="1"/>
      </sharedItems>
    </cacheField>
    <cacheField name="receita bruta" numFmtId="44">
      <sharedItems containsSemiMixedTypes="0" containsString="0" containsNumber="1" containsInteger="1" minValue="280" maxValue="51720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0">
  <r>
    <x v="0"/>
    <s v="são paulo"/>
    <n v="35"/>
    <n v="150"/>
    <x v="0"/>
    <x v="0"/>
    <x v="0"/>
    <n v="5250"/>
  </r>
  <r>
    <x v="0"/>
    <s v="são paulo"/>
    <n v="35"/>
    <n v="150"/>
    <x v="0"/>
    <x v="1"/>
    <x v="0"/>
    <n v="5250"/>
  </r>
  <r>
    <x v="0"/>
    <s v="são paulo"/>
    <n v="35"/>
    <n v="150"/>
    <x v="0"/>
    <x v="2"/>
    <x v="0"/>
    <n v="5250"/>
  </r>
  <r>
    <x v="0"/>
    <s v="são paulo"/>
    <n v="35"/>
    <n v="150"/>
    <x v="0"/>
    <x v="3"/>
    <x v="0"/>
    <n v="5250"/>
  </r>
  <r>
    <x v="0"/>
    <s v="são paulo"/>
    <n v="35"/>
    <n v="150"/>
    <x v="0"/>
    <x v="4"/>
    <x v="0"/>
    <n v="5250"/>
  </r>
  <r>
    <x v="0"/>
    <s v="são paulo"/>
    <n v="35"/>
    <n v="109"/>
    <x v="0"/>
    <x v="5"/>
    <x v="0"/>
    <n v="3815"/>
  </r>
  <r>
    <x v="0"/>
    <s v="são paulo"/>
    <n v="35"/>
    <n v="50"/>
    <x v="1"/>
    <x v="5"/>
    <x v="0"/>
    <n v="1750"/>
  </r>
  <r>
    <x v="1"/>
    <s v="são paulo"/>
    <n v="100"/>
    <n v="43"/>
    <x v="1"/>
    <x v="5"/>
    <x v="0"/>
    <n v="4300"/>
  </r>
  <r>
    <x v="2"/>
    <s v="são paulo"/>
    <n v="30"/>
    <n v="50"/>
    <x v="2"/>
    <x v="5"/>
    <x v="1"/>
    <n v="1500"/>
  </r>
  <r>
    <x v="2"/>
    <s v="são paulo"/>
    <n v="30"/>
    <n v="50"/>
    <x v="2"/>
    <x v="5"/>
    <x v="1"/>
    <n v="1500"/>
  </r>
  <r>
    <x v="2"/>
    <s v="são paulo"/>
    <n v="30"/>
    <n v="50"/>
    <x v="2"/>
    <x v="5"/>
    <x v="1"/>
    <n v="1500"/>
  </r>
  <r>
    <x v="3"/>
    <s v="são paulo"/>
    <n v="20"/>
    <n v="30"/>
    <x v="3"/>
    <x v="1"/>
    <x v="0"/>
    <n v="600"/>
  </r>
  <r>
    <x v="0"/>
    <s v="são paulo"/>
    <n v="50"/>
    <n v="10"/>
    <x v="4"/>
    <x v="6"/>
    <x v="1"/>
    <n v="500"/>
  </r>
  <r>
    <x v="1"/>
    <s v="são paulo"/>
    <n v="100"/>
    <n v="451"/>
    <x v="5"/>
    <x v="7"/>
    <x v="0"/>
    <n v="45100"/>
  </r>
  <r>
    <x v="1"/>
    <s v="são paulo"/>
    <n v="100"/>
    <n v="325"/>
    <x v="5"/>
    <x v="7"/>
    <x v="1"/>
    <n v="32500"/>
  </r>
  <r>
    <x v="1"/>
    <s v="são paulo"/>
    <n v="100"/>
    <n v="104"/>
    <x v="5"/>
    <x v="8"/>
    <x v="1"/>
    <n v="10400"/>
  </r>
  <r>
    <x v="1"/>
    <s v="são paulo"/>
    <n v="100"/>
    <n v="210"/>
    <x v="5"/>
    <x v="8"/>
    <x v="0"/>
    <n v="21000"/>
  </r>
  <r>
    <x v="1"/>
    <s v="são paulo"/>
    <n v="100"/>
    <n v="210"/>
    <x v="5"/>
    <x v="5"/>
    <x v="0"/>
    <n v="21000"/>
  </r>
  <r>
    <x v="1"/>
    <s v="são paulo"/>
    <n v="100"/>
    <n v="304"/>
    <x v="5"/>
    <x v="5"/>
    <x v="1"/>
    <n v="30400"/>
  </r>
  <r>
    <x v="1"/>
    <s v="são paulo"/>
    <n v="100"/>
    <n v="204"/>
    <x v="5"/>
    <x v="9"/>
    <x v="1"/>
    <n v="20400"/>
  </r>
  <r>
    <x v="1"/>
    <s v="são paulo"/>
    <n v="100"/>
    <n v="203"/>
    <x v="5"/>
    <x v="9"/>
    <x v="0"/>
    <n v="20300"/>
  </r>
  <r>
    <x v="1"/>
    <s v="são paulo"/>
    <n v="100"/>
    <n v="233"/>
    <x v="5"/>
    <x v="10"/>
    <x v="0"/>
    <n v="23300"/>
  </r>
  <r>
    <x v="1"/>
    <s v="são paulo"/>
    <n v="100"/>
    <n v="145"/>
    <x v="5"/>
    <x v="10"/>
    <x v="1"/>
    <n v="14500"/>
  </r>
  <r>
    <x v="1"/>
    <s v="são paulo"/>
    <n v="100"/>
    <n v="124"/>
    <x v="5"/>
    <x v="6"/>
    <x v="1"/>
    <n v="12400"/>
  </r>
  <r>
    <x v="1"/>
    <s v="são paulo"/>
    <n v="100"/>
    <n v="245"/>
    <x v="5"/>
    <x v="6"/>
    <x v="0"/>
    <n v="24500"/>
  </r>
  <r>
    <x v="1"/>
    <s v="são paulo"/>
    <n v="100"/>
    <n v="120"/>
    <x v="5"/>
    <x v="11"/>
    <x v="0"/>
    <n v="12000"/>
  </r>
  <r>
    <x v="1"/>
    <s v="são paulo"/>
    <n v="100"/>
    <n v="351"/>
    <x v="5"/>
    <x v="11"/>
    <x v="1"/>
    <n v="35100"/>
  </r>
  <r>
    <x v="1"/>
    <s v="são paulo"/>
    <n v="100"/>
    <n v="351"/>
    <x v="5"/>
    <x v="11"/>
    <x v="0"/>
    <n v="35100"/>
  </r>
  <r>
    <x v="1"/>
    <s v="são paulo"/>
    <n v="60"/>
    <n v="438"/>
    <x v="5"/>
    <x v="1"/>
    <x v="0"/>
    <n v="26280"/>
  </r>
  <r>
    <x v="1"/>
    <s v="são paulo"/>
    <n v="60"/>
    <n v="201"/>
    <x v="5"/>
    <x v="1"/>
    <x v="0"/>
    <n v="12060"/>
  </r>
  <r>
    <x v="1"/>
    <s v="são paulo"/>
    <n v="60"/>
    <n v="201"/>
    <x v="5"/>
    <x v="0"/>
    <x v="0"/>
    <n v="12060"/>
  </r>
  <r>
    <x v="1"/>
    <s v="são paulo"/>
    <n v="60"/>
    <n v="425"/>
    <x v="5"/>
    <x v="0"/>
    <x v="1"/>
    <n v="25500"/>
  </r>
  <r>
    <x v="1"/>
    <s v="são paulo"/>
    <n v="60"/>
    <n v="424"/>
    <x v="5"/>
    <x v="2"/>
    <x v="1"/>
    <n v="25440"/>
  </r>
  <r>
    <x v="1"/>
    <s v="são paulo"/>
    <n v="60"/>
    <n v="154"/>
    <x v="5"/>
    <x v="2"/>
    <x v="0"/>
    <n v="9240"/>
  </r>
  <r>
    <x v="1"/>
    <s v="são paulo"/>
    <n v="60"/>
    <n v="451"/>
    <x v="5"/>
    <x v="3"/>
    <x v="0"/>
    <n v="27060"/>
  </r>
  <r>
    <x v="1"/>
    <s v="são paulo"/>
    <n v="60"/>
    <n v="454"/>
    <x v="5"/>
    <x v="3"/>
    <x v="1"/>
    <n v="27240"/>
  </r>
  <r>
    <x v="1"/>
    <s v="são paulo"/>
    <n v="60"/>
    <n v="345"/>
    <x v="5"/>
    <x v="4"/>
    <x v="1"/>
    <n v="20700"/>
  </r>
  <r>
    <x v="1"/>
    <s v="são paulo"/>
    <n v="60"/>
    <n v="541"/>
    <x v="5"/>
    <x v="4"/>
    <x v="0"/>
    <n v="32460"/>
  </r>
  <r>
    <x v="2"/>
    <s v="são paulo"/>
    <n v="60"/>
    <n v="862"/>
    <x v="5"/>
    <x v="7"/>
    <x v="0"/>
    <n v="51720"/>
  </r>
  <r>
    <x v="2"/>
    <s v="são paulo"/>
    <n v="60"/>
    <n v="645"/>
    <x v="5"/>
    <x v="7"/>
    <x v="1"/>
    <n v="38700"/>
  </r>
  <r>
    <x v="2"/>
    <s v="são paulo"/>
    <n v="60"/>
    <n v="112"/>
    <x v="5"/>
    <x v="8"/>
    <x v="1"/>
    <n v="6720"/>
  </r>
  <r>
    <x v="2"/>
    <s v="são paulo"/>
    <n v="60"/>
    <n v="345"/>
    <x v="5"/>
    <x v="8"/>
    <x v="0"/>
    <n v="20700"/>
  </r>
  <r>
    <x v="2"/>
    <s v="são paulo"/>
    <n v="60"/>
    <n v="651"/>
    <x v="5"/>
    <x v="8"/>
    <x v="1"/>
    <n v="39060"/>
  </r>
  <r>
    <x v="2"/>
    <s v="são paulo"/>
    <n v="60"/>
    <n v="721"/>
    <x v="5"/>
    <x v="5"/>
    <x v="1"/>
    <n v="43260"/>
  </r>
  <r>
    <x v="2"/>
    <s v="são paulo"/>
    <n v="60"/>
    <n v="351"/>
    <x v="5"/>
    <x v="5"/>
    <x v="0"/>
    <n v="21060"/>
  </r>
  <r>
    <x v="2"/>
    <s v="são paulo"/>
    <n v="60"/>
    <n v="201"/>
    <x v="5"/>
    <x v="9"/>
    <x v="1"/>
    <n v="12060"/>
  </r>
  <r>
    <x v="2"/>
    <s v="são paulo"/>
    <n v="60"/>
    <n v="601"/>
    <x v="5"/>
    <x v="9"/>
    <x v="0"/>
    <n v="36060"/>
  </r>
  <r>
    <x v="2"/>
    <s v="são paulo"/>
    <n v="60"/>
    <n v="401"/>
    <x v="5"/>
    <x v="9"/>
    <x v="0"/>
    <n v="24060"/>
  </r>
  <r>
    <x v="2"/>
    <s v="são paulo"/>
    <n v="60"/>
    <n v="301"/>
    <x v="5"/>
    <x v="10"/>
    <x v="0"/>
    <n v="18060"/>
  </r>
  <r>
    <x v="2"/>
    <s v="são paulo"/>
    <n v="60"/>
    <n v="200"/>
    <x v="5"/>
    <x v="10"/>
    <x v="1"/>
    <n v="12000"/>
  </r>
  <r>
    <x v="2"/>
    <s v="são paulo"/>
    <n v="60"/>
    <n v="166"/>
    <x v="5"/>
    <x v="6"/>
    <x v="1"/>
    <n v="9960"/>
  </r>
  <r>
    <x v="2"/>
    <s v="são paulo"/>
    <n v="60"/>
    <n v="199"/>
    <x v="5"/>
    <x v="6"/>
    <x v="0"/>
    <n v="11940"/>
  </r>
  <r>
    <x v="2"/>
    <s v="são paulo"/>
    <n v="60"/>
    <n v="129"/>
    <x v="5"/>
    <x v="6"/>
    <x v="0"/>
    <n v="7740"/>
  </r>
  <r>
    <x v="2"/>
    <s v="são paulo"/>
    <n v="60"/>
    <n v="125"/>
    <x v="5"/>
    <x v="11"/>
    <x v="0"/>
    <n v="7500"/>
  </r>
  <r>
    <x v="2"/>
    <s v="são paulo"/>
    <n v="60"/>
    <n v="301"/>
    <x v="5"/>
    <x v="11"/>
    <x v="1"/>
    <n v="18060"/>
  </r>
  <r>
    <x v="2"/>
    <s v="são paulo"/>
    <n v="60"/>
    <n v="345"/>
    <x v="5"/>
    <x v="1"/>
    <x v="1"/>
    <n v="20700"/>
  </r>
  <r>
    <x v="2"/>
    <s v="são paulo"/>
    <n v="60"/>
    <n v="461"/>
    <x v="5"/>
    <x v="1"/>
    <x v="0"/>
    <n v="27660"/>
  </r>
  <r>
    <x v="2"/>
    <s v="são paulo"/>
    <n v="60"/>
    <n v="125"/>
    <x v="5"/>
    <x v="0"/>
    <x v="0"/>
    <n v="7500"/>
  </r>
  <r>
    <x v="2"/>
    <s v="são paulo"/>
    <n v="60"/>
    <n v="325"/>
    <x v="5"/>
    <x v="0"/>
    <x v="1"/>
    <n v="19500"/>
  </r>
  <r>
    <x v="2"/>
    <s v="são paulo"/>
    <n v="60"/>
    <n v="425"/>
    <x v="5"/>
    <x v="0"/>
    <x v="0"/>
    <n v="25500"/>
  </r>
  <r>
    <x v="2"/>
    <s v="são paulo"/>
    <n v="60"/>
    <n v="351"/>
    <x v="5"/>
    <x v="2"/>
    <x v="0"/>
    <n v="21060"/>
  </r>
  <r>
    <x v="2"/>
    <s v="são paulo"/>
    <n v="60"/>
    <n v="402"/>
    <x v="5"/>
    <x v="2"/>
    <x v="1"/>
    <n v="24120"/>
  </r>
  <r>
    <x v="2"/>
    <s v="são paulo"/>
    <n v="60"/>
    <n v="412"/>
    <x v="5"/>
    <x v="3"/>
    <x v="1"/>
    <n v="24720"/>
  </r>
  <r>
    <x v="2"/>
    <s v="são paulo"/>
    <n v="60"/>
    <n v="504"/>
    <x v="5"/>
    <x v="3"/>
    <x v="0"/>
    <n v="30240"/>
  </r>
  <r>
    <x v="2"/>
    <s v="são paulo"/>
    <n v="60"/>
    <n v="542"/>
    <x v="5"/>
    <x v="4"/>
    <x v="0"/>
    <n v="32520"/>
  </r>
  <r>
    <x v="2"/>
    <s v="são paulo"/>
    <n v="60"/>
    <n v="610"/>
    <x v="5"/>
    <x v="4"/>
    <x v="1"/>
    <n v="36600"/>
  </r>
  <r>
    <x v="0"/>
    <s v="são paulo"/>
    <n v="35"/>
    <n v="610"/>
    <x v="5"/>
    <x v="7"/>
    <x v="1"/>
    <n v="21350"/>
  </r>
  <r>
    <x v="0"/>
    <s v="são paulo"/>
    <n v="35"/>
    <n v="425"/>
    <x v="5"/>
    <x v="7"/>
    <x v="0"/>
    <n v="14875"/>
  </r>
  <r>
    <x v="0"/>
    <s v="são paulo"/>
    <n v="35"/>
    <n v="345"/>
    <x v="5"/>
    <x v="8"/>
    <x v="0"/>
    <n v="12075"/>
  </r>
  <r>
    <x v="0"/>
    <s v="são paulo"/>
    <n v="35"/>
    <n v="425"/>
    <x v="5"/>
    <x v="8"/>
    <x v="1"/>
    <n v="14875"/>
  </r>
  <r>
    <x v="0"/>
    <s v="são paulo"/>
    <n v="35"/>
    <n v="621"/>
    <x v="5"/>
    <x v="5"/>
    <x v="1"/>
    <n v="21735"/>
  </r>
  <r>
    <x v="0"/>
    <s v="são paulo"/>
    <n v="35"/>
    <n v="425"/>
    <x v="5"/>
    <x v="5"/>
    <x v="0"/>
    <n v="14875"/>
  </r>
  <r>
    <x v="0"/>
    <s v="são paulo"/>
    <n v="35"/>
    <n v="425"/>
    <x v="5"/>
    <x v="9"/>
    <x v="0"/>
    <n v="14875"/>
  </r>
  <r>
    <x v="0"/>
    <s v="são paulo"/>
    <n v="35"/>
    <n v="120"/>
    <x v="5"/>
    <x v="9"/>
    <x v="0"/>
    <n v="4200"/>
  </r>
  <r>
    <x v="0"/>
    <s v="são paulo"/>
    <n v="35"/>
    <n v="425"/>
    <x v="5"/>
    <x v="9"/>
    <x v="1"/>
    <n v="14875"/>
  </r>
  <r>
    <x v="0"/>
    <s v="são paulo"/>
    <n v="35"/>
    <n v="102"/>
    <x v="5"/>
    <x v="9"/>
    <x v="0"/>
    <n v="3570"/>
  </r>
  <r>
    <x v="0"/>
    <s v="são paulo"/>
    <n v="35"/>
    <n v="345"/>
    <x v="5"/>
    <x v="9"/>
    <x v="1"/>
    <n v="12075"/>
  </r>
  <r>
    <x v="0"/>
    <s v="são paulo"/>
    <n v="35"/>
    <n v="432"/>
    <x v="5"/>
    <x v="10"/>
    <x v="1"/>
    <n v="15120"/>
  </r>
  <r>
    <x v="0"/>
    <s v="são paulo"/>
    <n v="35"/>
    <n v="243"/>
    <x v="5"/>
    <x v="10"/>
    <x v="0"/>
    <n v="8505"/>
  </r>
  <r>
    <x v="0"/>
    <s v="são paulo"/>
    <n v="35"/>
    <n v="124"/>
    <x v="5"/>
    <x v="6"/>
    <x v="0"/>
    <n v="4340"/>
  </r>
  <r>
    <x v="0"/>
    <s v="são paulo"/>
    <n v="35"/>
    <n v="124"/>
    <x v="5"/>
    <x v="11"/>
    <x v="0"/>
    <n v="4340"/>
  </r>
  <r>
    <x v="0"/>
    <s v="são paulo"/>
    <n v="35"/>
    <n v="145"/>
    <x v="5"/>
    <x v="11"/>
    <x v="1"/>
    <n v="5075"/>
  </r>
  <r>
    <x v="0"/>
    <s v="são paulo"/>
    <n v="35"/>
    <n v="425"/>
    <x v="5"/>
    <x v="6"/>
    <x v="1"/>
    <n v="14875"/>
  </r>
  <r>
    <x v="0"/>
    <s v="são paulo"/>
    <n v="35"/>
    <n v="102"/>
    <x v="5"/>
    <x v="6"/>
    <x v="1"/>
    <n v="3570"/>
  </r>
  <r>
    <x v="0"/>
    <s v="são paulo"/>
    <n v="35"/>
    <n v="102"/>
    <x v="5"/>
    <x v="1"/>
    <x v="1"/>
    <n v="3570"/>
  </r>
  <r>
    <x v="0"/>
    <s v="são paulo"/>
    <n v="35"/>
    <n v="361"/>
    <x v="5"/>
    <x v="1"/>
    <x v="0"/>
    <n v="12635"/>
  </r>
  <r>
    <x v="0"/>
    <s v="são paulo"/>
    <n v="35"/>
    <n v="143"/>
    <x v="5"/>
    <x v="11"/>
    <x v="0"/>
    <n v="5005"/>
  </r>
  <r>
    <x v="0"/>
    <s v="são paulo"/>
    <n v="35"/>
    <n v="89"/>
    <x v="5"/>
    <x v="11"/>
    <x v="1"/>
    <n v="3115"/>
  </r>
  <r>
    <x v="0"/>
    <s v="são paulo"/>
    <n v="35"/>
    <n v="145"/>
    <x v="5"/>
    <x v="1"/>
    <x v="1"/>
    <n v="5075"/>
  </r>
  <r>
    <x v="0"/>
    <s v="são paulo"/>
    <n v="35"/>
    <n v="324"/>
    <x v="5"/>
    <x v="1"/>
    <x v="0"/>
    <n v="11340"/>
  </r>
  <r>
    <x v="0"/>
    <s v="são paulo"/>
    <n v="35"/>
    <n v="361"/>
    <x v="5"/>
    <x v="0"/>
    <x v="0"/>
    <n v="12635"/>
  </r>
  <r>
    <x v="0"/>
    <s v="são paulo"/>
    <n v="35"/>
    <n v="345"/>
    <x v="5"/>
    <x v="0"/>
    <x v="1"/>
    <n v="12075"/>
  </r>
  <r>
    <x v="0"/>
    <s v="são paulo"/>
    <n v="35"/>
    <n v="521"/>
    <x v="5"/>
    <x v="2"/>
    <x v="1"/>
    <n v="18235"/>
  </r>
  <r>
    <x v="0"/>
    <s v="são paulo"/>
    <n v="35"/>
    <n v="425"/>
    <x v="5"/>
    <x v="3"/>
    <x v="1"/>
    <n v="14875"/>
  </r>
  <r>
    <x v="0"/>
    <s v="são paulo"/>
    <n v="35"/>
    <n v="154"/>
    <x v="5"/>
    <x v="3"/>
    <x v="1"/>
    <n v="5390"/>
  </r>
  <r>
    <x v="0"/>
    <s v="são paulo"/>
    <n v="35"/>
    <n v="245"/>
    <x v="5"/>
    <x v="3"/>
    <x v="0"/>
    <n v="8575"/>
  </r>
  <r>
    <x v="0"/>
    <s v="são paulo"/>
    <n v="35"/>
    <n v="245"/>
    <x v="5"/>
    <x v="4"/>
    <x v="0"/>
    <n v="8575"/>
  </r>
  <r>
    <x v="0"/>
    <s v="são paulo"/>
    <n v="35"/>
    <n v="301"/>
    <x v="5"/>
    <x v="4"/>
    <x v="1"/>
    <n v="10535"/>
  </r>
  <r>
    <x v="3"/>
    <s v="são paulo"/>
    <n v="100"/>
    <n v="301"/>
    <x v="5"/>
    <x v="7"/>
    <x v="1"/>
    <n v="30100"/>
  </r>
  <r>
    <x v="3"/>
    <s v="são paulo"/>
    <n v="100"/>
    <n v="345"/>
    <x v="5"/>
    <x v="7"/>
    <x v="0"/>
    <n v="34500"/>
  </r>
  <r>
    <x v="3"/>
    <s v="são paulo"/>
    <n v="100"/>
    <n v="201"/>
    <x v="5"/>
    <x v="8"/>
    <x v="0"/>
    <n v="20100"/>
  </r>
  <r>
    <x v="3"/>
    <s v="são paulo"/>
    <n v="100"/>
    <n v="197"/>
    <x v="6"/>
    <x v="8"/>
    <x v="0"/>
    <n v="19700"/>
  </r>
  <r>
    <x v="3"/>
    <s v="são paulo"/>
    <n v="100"/>
    <n v="145"/>
    <x v="6"/>
    <x v="5"/>
    <x v="0"/>
    <n v="14500"/>
  </r>
  <r>
    <x v="3"/>
    <s v="são paulo"/>
    <n v="100"/>
    <n v="215"/>
    <x v="6"/>
    <x v="5"/>
    <x v="0"/>
    <n v="21500"/>
  </r>
  <r>
    <x v="3"/>
    <s v="são paulo"/>
    <n v="100"/>
    <n v="302"/>
    <x v="7"/>
    <x v="9"/>
    <x v="0"/>
    <n v="30200"/>
  </r>
  <r>
    <x v="3"/>
    <s v="são paulo"/>
    <n v="100"/>
    <n v="345"/>
    <x v="7"/>
    <x v="9"/>
    <x v="1"/>
    <n v="34500"/>
  </r>
  <r>
    <x v="3"/>
    <s v="são paulo"/>
    <n v="100"/>
    <n v="210"/>
    <x v="7"/>
    <x v="10"/>
    <x v="1"/>
    <n v="21000"/>
  </r>
  <r>
    <x v="3"/>
    <s v="são paulo"/>
    <n v="100"/>
    <n v="236"/>
    <x v="8"/>
    <x v="10"/>
    <x v="0"/>
    <n v="23600"/>
  </r>
  <r>
    <x v="3"/>
    <s v="são paulo"/>
    <n v="100"/>
    <n v="457"/>
    <x v="9"/>
    <x v="6"/>
    <x v="0"/>
    <n v="45700"/>
  </r>
  <r>
    <x v="3"/>
    <s v="são paulo"/>
    <n v="100"/>
    <n v="456"/>
    <x v="9"/>
    <x v="11"/>
    <x v="0"/>
    <n v="45600"/>
  </r>
  <r>
    <x v="3"/>
    <s v="são paulo"/>
    <n v="100"/>
    <n v="236"/>
    <x v="9"/>
    <x v="11"/>
    <x v="1"/>
    <n v="23600"/>
  </r>
  <r>
    <x v="3"/>
    <s v="são paulo"/>
    <n v="100"/>
    <n v="98"/>
    <x v="10"/>
    <x v="11"/>
    <x v="1"/>
    <n v="9800"/>
  </r>
  <r>
    <x v="3"/>
    <s v="são paulo"/>
    <n v="100"/>
    <n v="21"/>
    <x v="11"/>
    <x v="1"/>
    <x v="0"/>
    <n v="2100"/>
  </r>
  <r>
    <x v="3"/>
    <s v="são paulo"/>
    <n v="100"/>
    <n v="43"/>
    <x v="11"/>
    <x v="1"/>
    <x v="0"/>
    <n v="4300"/>
  </r>
  <r>
    <x v="3"/>
    <s v="são paulo"/>
    <n v="100"/>
    <n v="54"/>
    <x v="11"/>
    <x v="1"/>
    <x v="0"/>
    <n v="5400"/>
  </r>
  <r>
    <x v="3"/>
    <s v="são paulo"/>
    <n v="100"/>
    <n v="54"/>
    <x v="11"/>
    <x v="0"/>
    <x v="0"/>
    <n v="5400"/>
  </r>
  <r>
    <x v="3"/>
    <s v="são paulo"/>
    <n v="100"/>
    <n v="23"/>
    <x v="11"/>
    <x v="0"/>
    <x v="1"/>
    <n v="2300"/>
  </r>
  <r>
    <x v="3"/>
    <s v="são paulo"/>
    <n v="100"/>
    <n v="32"/>
    <x v="11"/>
    <x v="0"/>
    <x v="1"/>
    <n v="3200"/>
  </r>
  <r>
    <x v="3"/>
    <s v="são paulo"/>
    <n v="100"/>
    <n v="76"/>
    <x v="11"/>
    <x v="0"/>
    <x v="1"/>
    <n v="7600"/>
  </r>
  <r>
    <x v="3"/>
    <s v="são paulo"/>
    <n v="100"/>
    <n v="43"/>
    <x v="11"/>
    <x v="0"/>
    <x v="1"/>
    <n v="4300"/>
  </r>
  <r>
    <x v="3"/>
    <s v="são paulo"/>
    <n v="100"/>
    <n v="43"/>
    <x v="11"/>
    <x v="0"/>
    <x v="0"/>
    <n v="4300"/>
  </r>
  <r>
    <x v="3"/>
    <s v="são paulo"/>
    <n v="100"/>
    <n v="23"/>
    <x v="11"/>
    <x v="0"/>
    <x v="0"/>
    <n v="2300"/>
  </r>
  <r>
    <x v="3"/>
    <s v="são paulo"/>
    <n v="100"/>
    <n v="43"/>
    <x v="11"/>
    <x v="0"/>
    <x v="0"/>
    <n v="4300"/>
  </r>
  <r>
    <x v="3"/>
    <s v="são paulo"/>
    <n v="100"/>
    <n v="65"/>
    <x v="11"/>
    <x v="0"/>
    <x v="0"/>
    <n v="6500"/>
  </r>
  <r>
    <x v="3"/>
    <s v="são paulo"/>
    <n v="100"/>
    <n v="54"/>
    <x v="11"/>
    <x v="0"/>
    <x v="0"/>
    <n v="5400"/>
  </r>
  <r>
    <x v="3"/>
    <s v="são paulo"/>
    <n v="100"/>
    <n v="54"/>
    <x v="11"/>
    <x v="2"/>
    <x v="0"/>
    <n v="5400"/>
  </r>
  <r>
    <x v="3"/>
    <s v="são paulo"/>
    <n v="100"/>
    <n v="54"/>
    <x v="11"/>
    <x v="2"/>
    <x v="0"/>
    <n v="5400"/>
  </r>
  <r>
    <x v="3"/>
    <s v="são paulo"/>
    <n v="100"/>
    <n v="80"/>
    <x v="11"/>
    <x v="3"/>
    <x v="0"/>
    <n v="8000"/>
  </r>
  <r>
    <x v="3"/>
    <s v="são paulo"/>
    <n v="100"/>
    <n v="45"/>
    <x v="9"/>
    <x v="1"/>
    <x v="0"/>
    <n v="4500"/>
  </r>
  <r>
    <x v="3"/>
    <s v="são paulo"/>
    <n v="100"/>
    <n v="34"/>
    <x v="9"/>
    <x v="1"/>
    <x v="1"/>
    <n v="3400"/>
  </r>
  <r>
    <x v="3"/>
    <s v="são paulo"/>
    <n v="100"/>
    <n v="107"/>
    <x v="12"/>
    <x v="1"/>
    <x v="0"/>
    <n v="10700"/>
  </r>
  <r>
    <x v="3"/>
    <s v="são paulo"/>
    <n v="100"/>
    <n v="120"/>
    <x v="13"/>
    <x v="1"/>
    <x v="0"/>
    <n v="12000"/>
  </r>
  <r>
    <x v="3"/>
    <s v="são paulo"/>
    <n v="100"/>
    <n v="65"/>
    <x v="14"/>
    <x v="1"/>
    <x v="0"/>
    <n v="6500"/>
  </r>
  <r>
    <x v="3"/>
    <s v="são paulo"/>
    <n v="100"/>
    <n v="37"/>
    <x v="14"/>
    <x v="1"/>
    <x v="0"/>
    <n v="3700"/>
  </r>
  <r>
    <x v="3"/>
    <s v="são paulo"/>
    <n v="100"/>
    <n v="32"/>
    <x v="15"/>
    <x v="1"/>
    <x v="0"/>
    <n v="3200"/>
  </r>
  <r>
    <x v="3"/>
    <s v="são paulo"/>
    <n v="100"/>
    <n v="90"/>
    <x v="15"/>
    <x v="1"/>
    <x v="1"/>
    <n v="9000"/>
  </r>
  <r>
    <x v="3"/>
    <s v="são paulo"/>
    <n v="100"/>
    <n v="90"/>
    <x v="15"/>
    <x v="4"/>
    <x v="1"/>
    <n v="9000"/>
  </r>
  <r>
    <x v="3"/>
    <s v="são paulo"/>
    <n v="100"/>
    <n v="55"/>
    <x v="16"/>
    <x v="1"/>
    <x v="1"/>
    <n v="5500"/>
  </r>
  <r>
    <x v="3"/>
    <s v="são paulo"/>
    <n v="100"/>
    <n v="59"/>
    <x v="17"/>
    <x v="1"/>
    <x v="1"/>
    <n v="5900"/>
  </r>
  <r>
    <x v="3"/>
    <s v="são paulo"/>
    <n v="100"/>
    <n v="74"/>
    <x v="14"/>
    <x v="1"/>
    <x v="1"/>
    <n v="7400"/>
  </r>
  <r>
    <x v="3"/>
    <s v="são paulo"/>
    <n v="100"/>
    <n v="78"/>
    <x v="14"/>
    <x v="0"/>
    <x v="1"/>
    <n v="7800"/>
  </r>
  <r>
    <x v="3"/>
    <s v="são paulo"/>
    <n v="100"/>
    <n v="48"/>
    <x v="18"/>
    <x v="0"/>
    <x v="1"/>
    <n v="4800"/>
  </r>
  <r>
    <x v="3"/>
    <s v="são paulo"/>
    <n v="100"/>
    <n v="67"/>
    <x v="10"/>
    <x v="0"/>
    <x v="1"/>
    <n v="6700"/>
  </r>
  <r>
    <x v="3"/>
    <s v="são paulo"/>
    <n v="100"/>
    <n v="98"/>
    <x v="19"/>
    <x v="0"/>
    <x v="0"/>
    <n v="9800"/>
  </r>
  <r>
    <x v="3"/>
    <s v="são paulo"/>
    <n v="100"/>
    <n v="120"/>
    <x v="20"/>
    <x v="0"/>
    <x v="0"/>
    <n v="12000"/>
  </r>
  <r>
    <x v="3"/>
    <s v="são paulo"/>
    <n v="100"/>
    <n v="67"/>
    <x v="21"/>
    <x v="0"/>
    <x v="0"/>
    <n v="6700"/>
  </r>
  <r>
    <x v="3"/>
    <s v="são paulo"/>
    <n v="100"/>
    <n v="64"/>
    <x v="22"/>
    <x v="2"/>
    <x v="0"/>
    <n v="6400"/>
  </r>
  <r>
    <x v="3"/>
    <s v="são paulo"/>
    <n v="100"/>
    <n v="25"/>
    <x v="23"/>
    <x v="2"/>
    <x v="0"/>
    <n v="2500"/>
  </r>
  <r>
    <x v="3"/>
    <s v="são paulo"/>
    <n v="100"/>
    <n v="87"/>
    <x v="12"/>
    <x v="2"/>
    <x v="1"/>
    <n v="8700"/>
  </r>
  <r>
    <x v="3"/>
    <s v="são paulo"/>
    <n v="100"/>
    <n v="69"/>
    <x v="24"/>
    <x v="2"/>
    <x v="1"/>
    <n v="6900"/>
  </r>
  <r>
    <x v="3"/>
    <s v="são paulo"/>
    <n v="100"/>
    <n v="75"/>
    <x v="25"/>
    <x v="2"/>
    <x v="1"/>
    <n v="7500"/>
  </r>
  <r>
    <x v="3"/>
    <s v="são paulo"/>
    <n v="100"/>
    <n v="45"/>
    <x v="26"/>
    <x v="2"/>
    <x v="1"/>
    <n v="4500"/>
  </r>
  <r>
    <x v="3"/>
    <s v="são paulo"/>
    <n v="100"/>
    <n v="112"/>
    <x v="26"/>
    <x v="2"/>
    <x v="0"/>
    <n v="11200"/>
  </r>
  <r>
    <x v="3"/>
    <s v="são paulo"/>
    <n v="100"/>
    <n v="102"/>
    <x v="27"/>
    <x v="3"/>
    <x v="0"/>
    <n v="10200"/>
  </r>
  <r>
    <x v="3"/>
    <s v="são paulo"/>
    <n v="100"/>
    <n v="69"/>
    <x v="27"/>
    <x v="3"/>
    <x v="0"/>
    <n v="6900"/>
  </r>
  <r>
    <x v="3"/>
    <s v="são paulo"/>
    <n v="100"/>
    <n v="45"/>
    <x v="28"/>
    <x v="3"/>
    <x v="1"/>
    <n v="4500"/>
  </r>
  <r>
    <x v="3"/>
    <s v="são paulo"/>
    <n v="100"/>
    <n v="75"/>
    <x v="29"/>
    <x v="3"/>
    <x v="1"/>
    <n v="7500"/>
  </r>
  <r>
    <x v="3"/>
    <s v="são paulo"/>
    <n v="100"/>
    <n v="78"/>
    <x v="30"/>
    <x v="3"/>
    <x v="1"/>
    <n v="7800"/>
  </r>
  <r>
    <x v="3"/>
    <s v="são paulo"/>
    <n v="100"/>
    <n v="67"/>
    <x v="31"/>
    <x v="3"/>
    <x v="1"/>
    <n v="6700"/>
  </r>
  <r>
    <x v="3"/>
    <s v="são paulo"/>
    <n v="100"/>
    <n v="54"/>
    <x v="30"/>
    <x v="4"/>
    <x v="0"/>
    <n v="5400"/>
  </r>
  <r>
    <x v="3"/>
    <s v="são paulo"/>
    <n v="100"/>
    <n v="96"/>
    <x v="27"/>
    <x v="4"/>
    <x v="1"/>
    <n v="9600"/>
  </r>
  <r>
    <x v="3"/>
    <s v="são paulo"/>
    <n v="100"/>
    <n v="78"/>
    <x v="32"/>
    <x v="4"/>
    <x v="0"/>
    <n v="7800"/>
  </r>
  <r>
    <x v="3"/>
    <s v="são paulo"/>
    <n v="100"/>
    <n v="54"/>
    <x v="32"/>
    <x v="4"/>
    <x v="0"/>
    <n v="5400"/>
  </r>
  <r>
    <x v="3"/>
    <s v="são paulo"/>
    <n v="100"/>
    <n v="54"/>
    <x v="32"/>
    <x v="4"/>
    <x v="1"/>
    <n v="5400"/>
  </r>
  <r>
    <x v="3"/>
    <s v="são paulo"/>
    <n v="100"/>
    <n v="47"/>
    <x v="33"/>
    <x v="4"/>
    <x v="1"/>
    <n v="4700"/>
  </r>
  <r>
    <x v="3"/>
    <s v="são paulo"/>
    <n v="100"/>
    <n v="47"/>
    <x v="33"/>
    <x v="1"/>
    <x v="1"/>
    <n v="4700"/>
  </r>
  <r>
    <x v="2"/>
    <s v="são paulo"/>
    <n v="100"/>
    <n v="54"/>
    <x v="22"/>
    <x v="6"/>
    <x v="0"/>
    <n v="5400"/>
  </r>
  <r>
    <x v="2"/>
    <s v="são paulo"/>
    <n v="100"/>
    <n v="54"/>
    <x v="22"/>
    <x v="6"/>
    <x v="0"/>
    <n v="5400"/>
  </r>
  <r>
    <x v="2"/>
    <s v="são paulo"/>
    <n v="100"/>
    <n v="54"/>
    <x v="22"/>
    <x v="6"/>
    <x v="1"/>
    <n v="5400"/>
  </r>
  <r>
    <x v="1"/>
    <s v="são paulo"/>
    <n v="100"/>
    <n v="54"/>
    <x v="34"/>
    <x v="6"/>
    <x v="1"/>
    <n v="5400"/>
  </r>
  <r>
    <x v="3"/>
    <s v="são paulo"/>
    <n v="100"/>
    <n v="54"/>
    <x v="34"/>
    <x v="6"/>
    <x v="1"/>
    <n v="5400"/>
  </r>
  <r>
    <x v="3"/>
    <s v="são paulo"/>
    <n v="150"/>
    <n v="66"/>
    <x v="34"/>
    <x v="7"/>
    <x v="0"/>
    <n v="9900"/>
  </r>
  <r>
    <x v="1"/>
    <s v="são paulo"/>
    <n v="100"/>
    <n v="66"/>
    <x v="34"/>
    <x v="7"/>
    <x v="1"/>
    <n v="6600"/>
  </r>
  <r>
    <x v="3"/>
    <s v="são paulo"/>
    <n v="35"/>
    <n v="66"/>
    <x v="34"/>
    <x v="7"/>
    <x v="1"/>
    <n v="2310"/>
  </r>
  <r>
    <x v="0"/>
    <s v="são paulo"/>
    <n v="35"/>
    <n v="66"/>
    <x v="34"/>
    <x v="7"/>
    <x v="1"/>
    <n v="2310"/>
  </r>
  <r>
    <x v="2"/>
    <s v="são paulo"/>
    <n v="35"/>
    <n v="8"/>
    <x v="35"/>
    <x v="8"/>
    <x v="0"/>
    <n v="280"/>
  </r>
  <r>
    <x v="0"/>
    <s v="são paulo"/>
    <n v="35"/>
    <n v="8"/>
    <x v="35"/>
    <x v="8"/>
    <x v="0"/>
    <n v="280"/>
  </r>
  <r>
    <x v="0"/>
    <s v="são paulo"/>
    <n v="35"/>
    <n v="8"/>
    <x v="35"/>
    <x v="8"/>
    <x v="0"/>
    <n v="280"/>
  </r>
  <r>
    <x v="0"/>
    <s v="são paulo"/>
    <n v="35"/>
    <n v="8"/>
    <x v="35"/>
    <x v="8"/>
    <x v="0"/>
    <n v="280"/>
  </r>
  <r>
    <x v="0"/>
    <s v="são paulo"/>
    <n v="35"/>
    <n v="32"/>
    <x v="36"/>
    <x v="1"/>
    <x v="1"/>
    <n v="112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4" cacheId="4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D8:E21" firstHeaderRow="1" firstDataRow="1" firstDataCol="1" rowPageCount="1" colPageCount="1"/>
  <pivotFields count="8">
    <pivotField axis="axisPage" multipleItemSelectionAllowed="1" showAll="0">
      <items count="8">
        <item x="2"/>
        <item x="0"/>
        <item x="1"/>
        <item x="3"/>
        <item m="1" x="5"/>
        <item m="1" x="6"/>
        <item m="1" x="4"/>
        <item t="default"/>
      </items>
    </pivotField>
    <pivotField showAll="0"/>
    <pivotField numFmtId="44" showAll="0"/>
    <pivotField showAll="0"/>
    <pivotField showAll="0"/>
    <pivotField axis="axisRow" showAll="0">
      <items count="14">
        <item x="4"/>
        <item x="3"/>
        <item x="2"/>
        <item x="0"/>
        <item x="1"/>
        <item x="11"/>
        <item x="6"/>
        <item x="10"/>
        <item x="9"/>
        <item x="5"/>
        <item x="8"/>
        <item x="7"/>
        <item m="1" x="12"/>
        <item t="default"/>
      </items>
    </pivotField>
    <pivotField showAll="0" defaultSubtotal="0"/>
    <pivotField dataField="1" numFmtId="44" showAl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ageFields count="1">
    <pageField fld="0" hier="-1"/>
  </pageFields>
  <dataFields count="1">
    <dataField name="Soma de receita bruta" fld="7" baseField="0" baseItem="0" numFmtId="164"/>
  </dataFields>
  <formats count="6">
    <format dxfId="39">
      <pivotArea outline="0" collapsedLevelsAreSubtotals="1" fieldPosition="0"/>
    </format>
    <format dxfId="38">
      <pivotArea dataOnly="0" labelOnly="1" fieldPosition="0">
        <references count="1">
          <reference field="5" count="0"/>
        </references>
      </pivotArea>
    </format>
    <format dxfId="37">
      <pivotArea dataOnly="0" labelOnly="1" grandRow="1" outline="0" fieldPosition="0"/>
    </format>
    <format dxfId="36">
      <pivotArea outline="0" collapsedLevelsAreSubtotals="1" fieldPosition="0"/>
    </format>
    <format dxfId="35">
      <pivotArea dataOnly="0" labelOnly="1" fieldPosition="0">
        <references count="1">
          <reference field="5" count="0"/>
        </references>
      </pivotArea>
    </format>
    <format dxfId="34">
      <pivotArea dataOnly="0" labelOnly="1" grandRow="1" outline="0" fieldPosition="0"/>
    </format>
  </formats>
  <chartFormats count="3">
    <chartFormat chart="1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Tabela dinâmica5" cacheId="4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C1:D39" firstHeaderRow="1" firstDataRow="1" firstDataCol="1"/>
  <pivotFields count="8">
    <pivotField showAll="0"/>
    <pivotField showAll="0"/>
    <pivotField numFmtId="44" showAll="0"/>
    <pivotField showAll="0"/>
    <pivotField axis="axisRow" showAll="0">
      <items count="88">
        <item x="36"/>
        <item x="31"/>
        <item m="1" x="47"/>
        <item x="22"/>
        <item m="1" x="58"/>
        <item x="32"/>
        <item m="1" x="61"/>
        <item m="1" x="68"/>
        <item x="34"/>
        <item x="27"/>
        <item m="1" x="77"/>
        <item m="1" x="39"/>
        <item m="1" x="67"/>
        <item m="1" x="43"/>
        <item m="1" x="70"/>
        <item m="1" x="45"/>
        <item m="1" x="72"/>
        <item m="1" x="52"/>
        <item x="25"/>
        <item m="1" x="54"/>
        <item x="24"/>
        <item x="20"/>
        <item x="28"/>
        <item m="1" x="83"/>
        <item m="1" x="84"/>
        <item m="1" x="63"/>
        <item m="1" x="38"/>
        <item m="1" x="65"/>
        <item m="1" x="48"/>
        <item x="12"/>
        <item m="1" x="73"/>
        <item m="1" x="74"/>
        <item m="1" x="64"/>
        <item m="1" x="40"/>
        <item m="1" x="79"/>
        <item x="13"/>
        <item m="1" x="46"/>
        <item m="1" x="49"/>
        <item m="1" x="76"/>
        <item m="1" x="82"/>
        <item m="1" x="55"/>
        <item m="1" x="66"/>
        <item m="1" x="41"/>
        <item m="1" x="71"/>
        <item m="1" x="37"/>
        <item m="1" x="80"/>
        <item m="1" x="51"/>
        <item m="1" x="69"/>
        <item m="1" x="81"/>
        <item m="1" x="86"/>
        <item m="1" x="60"/>
        <item m="1" x="75"/>
        <item m="1" x="50"/>
        <item m="1" x="44"/>
        <item m="1" x="62"/>
        <item m="1" x="53"/>
        <item m="1" x="85"/>
        <item m="1" x="59"/>
        <item m="1" x="78"/>
        <item m="1" x="42"/>
        <item m="1" x="56"/>
        <item x="4"/>
        <item m="1" x="57"/>
        <item x="35"/>
        <item x="33"/>
        <item x="30"/>
        <item x="29"/>
        <item x="26"/>
        <item x="23"/>
        <item x="21"/>
        <item x="19"/>
        <item x="10"/>
        <item x="18"/>
        <item x="14"/>
        <item x="17"/>
        <item x="16"/>
        <item x="15"/>
        <item x="9"/>
        <item x="11"/>
        <item x="8"/>
        <item x="7"/>
        <item x="6"/>
        <item x="5"/>
        <item x="3"/>
        <item x="2"/>
        <item x="1"/>
        <item x="0"/>
        <item t="default"/>
      </items>
    </pivotField>
    <pivotField showAll="0"/>
    <pivotField showAll="0" defaultSubtotal="0"/>
    <pivotField dataField="1" numFmtId="44" showAll="0"/>
  </pivotFields>
  <rowFields count="1">
    <field x="4"/>
  </rowFields>
  <rowItems count="38">
    <i>
      <x/>
    </i>
    <i>
      <x v="1"/>
    </i>
    <i>
      <x v="3"/>
    </i>
    <i>
      <x v="5"/>
    </i>
    <i>
      <x v="8"/>
    </i>
    <i>
      <x v="9"/>
    </i>
    <i>
      <x v="18"/>
    </i>
    <i>
      <x v="20"/>
    </i>
    <i>
      <x v="21"/>
    </i>
    <i>
      <x v="22"/>
    </i>
    <i>
      <x v="29"/>
    </i>
    <i>
      <x v="35"/>
    </i>
    <i>
      <x v="61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 t="grand">
      <x/>
    </i>
  </rowItems>
  <colItems count="1">
    <i/>
  </colItems>
  <dataFields count="1">
    <dataField name="Soma de receita bruta" fld="7" baseField="0" baseItem="0" numFmtId="164"/>
  </dataFields>
  <formats count="2">
    <format dxfId="33">
      <pivotArea outline="0" collapsedLevelsAreSubtotals="1" fieldPosition="0"/>
    </format>
    <format dxfId="32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Tabela dinâmica3" cacheId="4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16">
  <location ref="B2:C5" firstHeaderRow="1" firstDataRow="1" firstDataCol="1"/>
  <pivotFields count="8">
    <pivotField showAll="0">
      <items count="8">
        <item m="1" x="6"/>
        <item x="2"/>
        <item m="1" x="5"/>
        <item x="0"/>
        <item x="1"/>
        <item x="3"/>
        <item m="1" x="4"/>
        <item t="default"/>
      </items>
    </pivotField>
    <pivotField showAll="0"/>
    <pivotField numFmtId="44" showAll="0"/>
    <pivotField showAll="0"/>
    <pivotField showAll="0"/>
    <pivotField showAll="0">
      <items count="14">
        <item x="4"/>
        <item x="3"/>
        <item x="2"/>
        <item x="0"/>
        <item x="1"/>
        <item x="11"/>
        <item x="6"/>
        <item x="10"/>
        <item x="9"/>
        <item x="5"/>
        <item x="8"/>
        <item x="7"/>
        <item m="1" x="12"/>
        <item t="default"/>
      </items>
    </pivotField>
    <pivotField axis="axisRow" showAll="0" defaultSubtotal="0">
      <items count="3">
        <item x="1"/>
        <item x="0"/>
        <item m="1" x="2"/>
      </items>
    </pivotField>
    <pivotField dataField="1" numFmtId="44" showAll="0"/>
  </pivotFields>
  <rowFields count="1">
    <field x="6"/>
  </rowFields>
  <rowItems count="3">
    <i>
      <x/>
    </i>
    <i>
      <x v="1"/>
    </i>
    <i t="grand">
      <x/>
    </i>
  </rowItems>
  <colItems count="1">
    <i/>
  </colItems>
  <dataFields count="1">
    <dataField name="Soma de receita bruta" fld="7" baseField="0" baseItem="0"/>
  </dataFields>
  <chartFormats count="11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9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4" format="5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  <chartFormat chart="14" format="6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7" format="4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5" format="18">
      <pivotArea type="data" outline="0" fieldPosition="0">
        <references count="2">
          <reference field="4294967294" count="1" selected="0">
            <x v="0"/>
          </reference>
          <reference field="6" count="1" selected="0">
            <x v="1"/>
          </reference>
        </references>
      </pivotArea>
    </chartFormat>
    <chartFormat chart="15" format="19">
      <pivotArea type="data" outline="0" fieldPosition="0">
        <references count="2">
          <reference field="4294967294" count="1" selected="0">
            <x v="0"/>
          </reference>
          <reference field="6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Tabela dinâmica1" cacheId="4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9">
  <location ref="D5:E18" firstHeaderRow="1" firstDataRow="1" firstDataCol="1"/>
  <pivotFields count="8">
    <pivotField showAll="0">
      <items count="8">
        <item m="1" x="6"/>
        <item x="2"/>
        <item m="1" x="5"/>
        <item x="0"/>
        <item x="1"/>
        <item x="3"/>
        <item m="1" x="4"/>
        <item t="default"/>
      </items>
    </pivotField>
    <pivotField showAll="0"/>
    <pivotField numFmtId="44" showAll="0"/>
    <pivotField dataField="1" showAll="0"/>
    <pivotField showAll="0"/>
    <pivotField axis="axisRow" showAll="0">
      <items count="14">
        <item x="4"/>
        <item x="3"/>
        <item x="2"/>
        <item x="0"/>
        <item x="1"/>
        <item x="11"/>
        <item x="6"/>
        <item x="10"/>
        <item x="9"/>
        <item x="5"/>
        <item x="8"/>
        <item x="7"/>
        <item m="1" x="12"/>
        <item t="default"/>
      </items>
    </pivotField>
    <pivotField showAll="0" defaultSubtotal="0"/>
    <pivotField numFmtId="44" showAll="0"/>
  </pivotFields>
  <rowFields count="1">
    <field x="5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oma de vendidos " fld="3" baseField="0" baseItem="0"/>
  </dataFields>
  <chartFormats count="8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3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  <chartFormat chart="8" format="4">
      <pivotArea type="data" outline="0" fieldPosition="0">
        <references count="2">
          <reference field="4294967294" count="1" selected="0">
            <x v="0"/>
          </reference>
          <reference field="5" count="1" selected="0">
            <x v="3"/>
          </reference>
        </references>
      </pivotArea>
    </chartFormat>
    <chartFormat chart="8" format="5">
      <pivotArea type="data" outline="0" fieldPosition="0">
        <references count="2">
          <reference field="4294967294" count="1" selected="0">
            <x v="0"/>
          </reference>
          <reference field="5" count="1" selected="0">
            <x v="5"/>
          </reference>
        </references>
      </pivotArea>
    </chartFormat>
    <chartFormat chart="8" format="6">
      <pivotArea type="data" outline="0" fieldPosition="0">
        <references count="2">
          <reference field="4294967294" count="1" selected="0">
            <x v="0"/>
          </reference>
          <reference field="5" count="1" selected="0">
            <x v="7"/>
          </reference>
        </references>
      </pivotArea>
    </chartFormat>
    <chartFormat chart="8" format="7">
      <pivotArea type="data" outline="0" fieldPosition="0">
        <references count="2">
          <reference field="4294967294" count="1" selected="0">
            <x v="0"/>
          </reference>
          <reference field="5" count="1" selected="0">
            <x v="8"/>
          </reference>
        </references>
      </pivotArea>
    </chartFormat>
    <chartFormat chart="8" format="8">
      <pivotArea type="data" outline="0" fieldPosition="0">
        <references count="2">
          <reference field="4294967294" count="1" selected="0">
            <x v="0"/>
          </reference>
          <reference field="5" count="1" selected="0">
            <x v="1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Tabela dinâmica2" cacheId="48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C4:D9" firstHeaderRow="1" firstDataRow="1" firstDataCol="1" rowPageCount="1" colPageCount="1"/>
  <pivotFields count="8">
    <pivotField axis="axisRow" showAll="0" sortType="ascending">
      <items count="8">
        <item x="2"/>
        <item x="0"/>
        <item x="1"/>
        <item x="3"/>
        <item m="1" x="5"/>
        <item m="1" x="6"/>
        <item m="1" x="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numFmtId="44" showAll="0"/>
    <pivotField showAll="0"/>
    <pivotField showAll="0"/>
    <pivotField axis="axisPage" multipleItemSelectionAllowed="1" showAll="0">
      <items count="14">
        <item x="4"/>
        <item x="3"/>
        <item x="2"/>
        <item x="0"/>
        <item x="1"/>
        <item x="11"/>
        <item x="6"/>
        <item x="10"/>
        <item x="9"/>
        <item x="5"/>
        <item x="8"/>
        <item x="7"/>
        <item m="1" x="12"/>
        <item t="default"/>
      </items>
    </pivotField>
    <pivotField showAll="0" defaultSubtotal="0"/>
    <pivotField dataField="1" numFmtId="44" showAll="0"/>
  </pivotFields>
  <rowFields count="1">
    <field x="0"/>
  </rowFields>
  <rowItems count="5">
    <i>
      <x v="1"/>
    </i>
    <i>
      <x v="2"/>
    </i>
    <i>
      <x/>
    </i>
    <i>
      <x v="3"/>
    </i>
    <i t="grand">
      <x/>
    </i>
  </rowItems>
  <colItems count="1">
    <i/>
  </colItems>
  <pageFields count="1">
    <pageField fld="5" hier="-1"/>
  </pageFields>
  <dataFields count="1">
    <dataField name="Soma de receita bruta" fld="7" baseField="0" baseItem="0" numFmtId="164"/>
  </dataFields>
  <formats count="8">
    <format dxfId="31">
      <pivotArea dataOnly="0" labelOnly="1" outline="0" axis="axisValues" fieldPosition="0"/>
    </format>
    <format dxfId="30">
      <pivotArea dataOnly="0" labelOnly="1" outline="0" axis="axisValues" fieldPosition="0"/>
    </format>
    <format dxfId="29">
      <pivotArea dataOnly="0" labelOnly="1" outline="0" axis="axisValues" fieldPosition="0"/>
    </format>
    <format dxfId="28">
      <pivotArea dataOnly="0" labelOnly="1" outline="0" axis="axisValues" fieldPosition="0"/>
    </format>
    <format dxfId="27">
      <pivotArea dataOnly="0" labelOnly="1" outline="0" axis="axisValues" fieldPosition="0"/>
    </format>
    <format dxfId="26">
      <pivotArea dataOnly="0" labelOnly="1" outline="0" axis="axisValues" fieldPosition="0"/>
    </format>
    <format dxfId="25">
      <pivotArea outline="0" collapsedLevelsAreSubtotals="1" fieldPosition="0"/>
    </format>
    <format dxfId="24">
      <pivotArea outline="0" collapsedLevelsAreSubtotals="1" fieldPosition="0"/>
    </format>
  </formats>
  <chartFormats count="5"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data_mês1" sourceName="data/mês">
  <pivotTables>
    <pivotTable tabId="7" name="Tabela dinâmica2"/>
    <pivotTable tabId="10" name="Tabela dinâmica3"/>
    <pivotTable tabId="13" name="Tabela dinâmica1"/>
  </pivotTables>
  <data>
    <tabular pivotCacheId="1">
      <items count="13">
        <i x="4" s="1"/>
        <i x="3" s="1"/>
        <i x="2" s="1"/>
        <i x="0" s="1"/>
        <i x="1" s="1"/>
        <i x="11" s="1"/>
        <i x="6" s="1"/>
        <i x="10" s="1"/>
        <i x="9" s="1"/>
        <i x="5" s="1"/>
        <i x="8" s="1"/>
        <i x="7" s="1"/>
        <i x="12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egmentaçãodeDados_itens" sourceName="itens ">
  <pivotTables>
    <pivotTable tabId="8" name="Tabela dinâmica4"/>
    <pivotTable tabId="10" name="Tabela dinâmica3"/>
    <pivotTable tabId="13" name="Tabela dinâmica1"/>
  </pivotTables>
  <data>
    <tabular pivotCacheId="1">
      <items count="7">
        <i x="2" s="1"/>
        <i x="0" s="1"/>
        <i x="1" s="1"/>
        <i x="3" s="1"/>
        <i x="6" s="1" nd="1"/>
        <i x="5" s="1" nd="1"/>
        <i x="4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itens " cache="SegmentaçãodeDados_itens" caption="itens 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a/mês" cache="SegmentaçãodeDados_data_mês1" caption="data/mês" startItem="4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data/mês 1" cache="SegmentaçãodeDados_data_mês1" caption="data/mês" columnCount="3" showCaption="0" style="SlicerStyleDark5" rowHeight="241300"/>
  <slicer name="itens  1" cache="SegmentaçãodeDados_itens" caption="itens " showCaption="0" style="SlicerStyleDark5" rowHeight="468000"/>
</slicer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4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07/relationships/slicer" Target="../slicers/slicer2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07/relationships/slicer" Target="../slicers/slicer3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AI25"/>
  <sheetViews>
    <sheetView zoomScale="140" zoomScaleNormal="140" workbookViewId="0">
      <selection activeCell="I4" sqref="I4"/>
    </sheetView>
  </sheetViews>
  <sheetFormatPr defaultRowHeight="15" x14ac:dyDescent="0.25"/>
  <cols>
    <col min="1" max="1" width="10" customWidth="1"/>
    <col min="2" max="4" width="10" bestFit="1" customWidth="1"/>
    <col min="5" max="5" width="15.140625" bestFit="1" customWidth="1"/>
    <col min="7" max="7" width="15.140625" bestFit="1" customWidth="1"/>
    <col min="8" max="8" width="13.85546875" bestFit="1" customWidth="1"/>
    <col min="9" max="9" width="12.7109375" bestFit="1" customWidth="1"/>
    <col min="10" max="10" width="10" bestFit="1" customWidth="1"/>
    <col min="11" max="11" width="15.85546875" bestFit="1" customWidth="1"/>
    <col min="12" max="12" width="15.140625" bestFit="1" customWidth="1"/>
    <col min="13" max="13" width="10" bestFit="1" customWidth="1"/>
    <col min="14" max="14" width="15.85546875" bestFit="1" customWidth="1"/>
    <col min="15" max="15" width="11" bestFit="1" customWidth="1"/>
    <col min="16" max="18" width="15.85546875" bestFit="1" customWidth="1"/>
    <col min="19" max="19" width="11" bestFit="1" customWidth="1"/>
    <col min="20" max="20" width="15.85546875" bestFit="1" customWidth="1"/>
    <col min="21" max="22" width="11" bestFit="1" customWidth="1"/>
    <col min="23" max="23" width="15.85546875" bestFit="1" customWidth="1"/>
    <col min="24" max="24" width="12.7109375" bestFit="1" customWidth="1"/>
    <col min="26" max="27" width="12.7109375" bestFit="1" customWidth="1"/>
    <col min="30" max="30" width="11" bestFit="1" customWidth="1"/>
    <col min="31" max="31" width="15.85546875" bestFit="1" customWidth="1"/>
    <col min="32" max="32" width="12.7109375" bestFit="1" customWidth="1"/>
    <col min="34" max="34" width="11" bestFit="1" customWidth="1"/>
    <col min="35" max="36" width="12.7109375" bestFit="1" customWidth="1"/>
  </cols>
  <sheetData>
    <row r="1" spans="1:35" x14ac:dyDescent="0.25">
      <c r="A1" s="4" t="s">
        <v>2</v>
      </c>
      <c r="B1" s="4" t="s">
        <v>26</v>
      </c>
      <c r="C1" s="4" t="s">
        <v>25</v>
      </c>
      <c r="D1" s="4" t="s">
        <v>0</v>
      </c>
      <c r="E1" s="4" t="s">
        <v>1</v>
      </c>
      <c r="F1" s="4" t="s">
        <v>5</v>
      </c>
      <c r="G1" s="4" t="s">
        <v>30</v>
      </c>
      <c r="H1" s="4" t="s">
        <v>28</v>
      </c>
      <c r="J1" s="8" t="s">
        <v>2</v>
      </c>
      <c r="K1" s="8" t="s">
        <v>26</v>
      </c>
      <c r="L1" s="8" t="s">
        <v>25</v>
      </c>
      <c r="M1" s="8" t="s">
        <v>0</v>
      </c>
      <c r="N1" s="8" t="s">
        <v>1</v>
      </c>
      <c r="O1" s="8" t="s">
        <v>5</v>
      </c>
      <c r="P1" s="8" t="s">
        <v>3</v>
      </c>
      <c r="Q1" s="8" t="s">
        <v>28</v>
      </c>
      <c r="S1" s="9" t="s">
        <v>2</v>
      </c>
      <c r="T1" s="9" t="s">
        <v>26</v>
      </c>
      <c r="U1" s="9" t="s">
        <v>25</v>
      </c>
      <c r="V1" s="9" t="s">
        <v>0</v>
      </c>
      <c r="W1" s="9" t="s">
        <v>1</v>
      </c>
      <c r="X1" s="9" t="s">
        <v>5</v>
      </c>
      <c r="Y1" s="9" t="s">
        <v>3</v>
      </c>
      <c r="Z1" s="9" t="s">
        <v>28</v>
      </c>
      <c r="AB1" s="10" t="s">
        <v>2</v>
      </c>
      <c r="AC1" s="10" t="s">
        <v>26</v>
      </c>
      <c r="AD1" s="10" t="s">
        <v>25</v>
      </c>
      <c r="AE1" s="10" t="s">
        <v>0</v>
      </c>
      <c r="AF1" s="10" t="s">
        <v>1</v>
      </c>
      <c r="AG1" s="10" t="s">
        <v>5</v>
      </c>
      <c r="AH1" s="10" t="s">
        <v>3</v>
      </c>
      <c r="AI1" s="10" t="s">
        <v>28</v>
      </c>
    </row>
    <row r="2" spans="1:35" x14ac:dyDescent="0.25">
      <c r="A2" s="5" t="s">
        <v>11</v>
      </c>
      <c r="B2" s="5" t="s">
        <v>27</v>
      </c>
      <c r="C2" s="11">
        <v>35</v>
      </c>
      <c r="D2" s="5">
        <v>31</v>
      </c>
      <c r="E2" s="5">
        <v>120</v>
      </c>
      <c r="F2" s="6" t="s">
        <v>7</v>
      </c>
      <c r="G2" s="7" t="s">
        <v>6</v>
      </c>
      <c r="H2" s="12">
        <f>C2*D2</f>
        <v>1085</v>
      </c>
      <c r="J2" s="5" t="s">
        <v>4</v>
      </c>
      <c r="K2" s="5" t="s">
        <v>27</v>
      </c>
      <c r="L2" s="11">
        <v>60</v>
      </c>
      <c r="M2" s="5">
        <v>31</v>
      </c>
      <c r="N2" s="5">
        <v>12</v>
      </c>
      <c r="O2" s="6" t="s">
        <v>7</v>
      </c>
      <c r="P2" s="7" t="s">
        <v>6</v>
      </c>
      <c r="Q2" s="12">
        <f>L2*M2</f>
        <v>1860</v>
      </c>
      <c r="S2" s="5" t="s">
        <v>23</v>
      </c>
      <c r="T2" s="5" t="s">
        <v>27</v>
      </c>
      <c r="U2" s="11">
        <v>100</v>
      </c>
      <c r="V2" s="5">
        <v>21</v>
      </c>
      <c r="W2" s="5">
        <v>22</v>
      </c>
      <c r="X2" s="6" t="s">
        <v>7</v>
      </c>
      <c r="Y2" s="7" t="s">
        <v>6</v>
      </c>
      <c r="Z2" s="12">
        <f>U2*V2</f>
        <v>2100</v>
      </c>
      <c r="AB2" s="5" t="s">
        <v>24</v>
      </c>
      <c r="AC2" s="5" t="s">
        <v>27</v>
      </c>
      <c r="AD2" s="11">
        <v>100</v>
      </c>
      <c r="AE2" s="5">
        <v>14</v>
      </c>
      <c r="AF2" s="5">
        <v>14</v>
      </c>
      <c r="AG2" s="6" t="s">
        <v>7</v>
      </c>
      <c r="AH2" s="7" t="s">
        <v>6</v>
      </c>
      <c r="AI2" s="12">
        <f>AD2*AE2</f>
        <v>1400</v>
      </c>
    </row>
    <row r="3" spans="1:35" x14ac:dyDescent="0.25">
      <c r="A3" s="5" t="s">
        <v>11</v>
      </c>
      <c r="B3" s="5" t="s">
        <v>27</v>
      </c>
      <c r="C3" s="11">
        <v>35</v>
      </c>
      <c r="D3" s="5">
        <v>58</v>
      </c>
      <c r="E3" s="5">
        <v>109</v>
      </c>
      <c r="F3" s="5" t="s">
        <v>7</v>
      </c>
      <c r="G3" s="7" t="s">
        <v>8</v>
      </c>
      <c r="H3" s="12">
        <f>C3*D3</f>
        <v>2030</v>
      </c>
      <c r="J3" s="5" t="s">
        <v>4</v>
      </c>
      <c r="K3" s="5" t="s">
        <v>27</v>
      </c>
      <c r="L3" s="11">
        <v>60</v>
      </c>
      <c r="M3" s="5">
        <v>48</v>
      </c>
      <c r="N3" s="5">
        <v>19</v>
      </c>
      <c r="O3" s="5" t="s">
        <v>7</v>
      </c>
      <c r="P3" s="7" t="s">
        <v>8</v>
      </c>
      <c r="Q3" s="12">
        <f t="shared" ref="Q3:Q25" si="0">L3*M3</f>
        <v>2880</v>
      </c>
      <c r="S3" s="5" t="s">
        <v>23</v>
      </c>
      <c r="T3" s="5" t="s">
        <v>27</v>
      </c>
      <c r="U3" s="11">
        <v>100</v>
      </c>
      <c r="V3" s="5">
        <v>28</v>
      </c>
      <c r="W3" s="5">
        <v>39</v>
      </c>
      <c r="X3" s="5" t="s">
        <v>7</v>
      </c>
      <c r="Y3" s="7" t="s">
        <v>8</v>
      </c>
      <c r="Z3" s="12">
        <f t="shared" ref="Z3:Z25" si="1">U3*V3</f>
        <v>2800</v>
      </c>
      <c r="AB3" s="5" t="s">
        <v>24</v>
      </c>
      <c r="AC3" s="5" t="s">
        <v>27</v>
      </c>
      <c r="AD3" s="11">
        <v>100</v>
      </c>
      <c r="AE3" s="5">
        <v>18</v>
      </c>
      <c r="AF3" s="5">
        <v>19</v>
      </c>
      <c r="AG3" s="5" t="s">
        <v>7</v>
      </c>
      <c r="AH3" s="7" t="s">
        <v>8</v>
      </c>
      <c r="AI3" s="12">
        <f t="shared" ref="AI3:AI25" si="2">AD3*AE3</f>
        <v>1800</v>
      </c>
    </row>
    <row r="4" spans="1:35" x14ac:dyDescent="0.25">
      <c r="A4" s="5" t="s">
        <v>11</v>
      </c>
      <c r="B4" s="5" t="s">
        <v>27</v>
      </c>
      <c r="C4" s="11">
        <v>35</v>
      </c>
      <c r="D4" s="5">
        <v>67</v>
      </c>
      <c r="E4" s="5">
        <v>178</v>
      </c>
      <c r="F4" s="5" t="s">
        <v>12</v>
      </c>
      <c r="G4" s="7" t="s">
        <v>6</v>
      </c>
      <c r="H4" s="12">
        <f>C4*D4</f>
        <v>2345</v>
      </c>
      <c r="J4" s="5" t="s">
        <v>4</v>
      </c>
      <c r="K4" s="5" t="s">
        <v>27</v>
      </c>
      <c r="L4" s="11">
        <v>60</v>
      </c>
      <c r="M4" s="5">
        <v>30</v>
      </c>
      <c r="N4" s="5">
        <v>18</v>
      </c>
      <c r="O4" s="5" t="s">
        <v>12</v>
      </c>
      <c r="P4" s="7" t="s">
        <v>6</v>
      </c>
      <c r="Q4" s="12">
        <f t="shared" si="0"/>
        <v>1800</v>
      </c>
      <c r="S4" s="5" t="s">
        <v>23</v>
      </c>
      <c r="T4" s="5" t="s">
        <v>27</v>
      </c>
      <c r="U4" s="11">
        <v>100</v>
      </c>
      <c r="V4" s="5">
        <v>12</v>
      </c>
      <c r="W4" s="5">
        <v>68</v>
      </c>
      <c r="X4" s="5" t="s">
        <v>12</v>
      </c>
      <c r="Y4" s="7" t="s">
        <v>6</v>
      </c>
      <c r="Z4" s="12">
        <f t="shared" si="1"/>
        <v>1200</v>
      </c>
      <c r="AB4" s="5" t="s">
        <v>24</v>
      </c>
      <c r="AC4" s="5" t="s">
        <v>27</v>
      </c>
      <c r="AD4" s="11">
        <v>100</v>
      </c>
      <c r="AE4" s="5">
        <v>15</v>
      </c>
      <c r="AF4" s="5">
        <v>58</v>
      </c>
      <c r="AG4" s="5" t="s">
        <v>12</v>
      </c>
      <c r="AH4" s="7" t="s">
        <v>6</v>
      </c>
      <c r="AI4" s="12">
        <f t="shared" si="2"/>
        <v>1500</v>
      </c>
    </row>
    <row r="5" spans="1:35" x14ac:dyDescent="0.25">
      <c r="A5" s="5" t="s">
        <v>11</v>
      </c>
      <c r="B5" s="5" t="s">
        <v>27</v>
      </c>
      <c r="C5" s="11">
        <v>35</v>
      </c>
      <c r="D5" s="5">
        <v>89</v>
      </c>
      <c r="E5" s="5">
        <v>123</v>
      </c>
      <c r="F5" s="5" t="s">
        <v>12</v>
      </c>
      <c r="G5" s="7" t="s">
        <v>8</v>
      </c>
      <c r="H5" s="12">
        <f t="shared" ref="H5:H25" si="3">C5*D5</f>
        <v>3115</v>
      </c>
      <c r="J5" s="5" t="s">
        <v>4</v>
      </c>
      <c r="K5" s="5" t="s">
        <v>27</v>
      </c>
      <c r="L5" s="11">
        <v>60</v>
      </c>
      <c r="M5" s="5">
        <v>34</v>
      </c>
      <c r="N5" s="5">
        <v>23</v>
      </c>
      <c r="O5" s="5" t="s">
        <v>12</v>
      </c>
      <c r="P5" s="7" t="s">
        <v>8</v>
      </c>
      <c r="Q5" s="12">
        <f t="shared" si="0"/>
        <v>2040</v>
      </c>
      <c r="S5" s="5" t="s">
        <v>23</v>
      </c>
      <c r="T5" s="5" t="s">
        <v>27</v>
      </c>
      <c r="U5" s="11">
        <v>100</v>
      </c>
      <c r="V5" s="5">
        <v>7</v>
      </c>
      <c r="W5" s="5">
        <v>73</v>
      </c>
      <c r="X5" s="5" t="s">
        <v>12</v>
      </c>
      <c r="Y5" s="7" t="s">
        <v>8</v>
      </c>
      <c r="Z5" s="12">
        <f t="shared" si="1"/>
        <v>700</v>
      </c>
      <c r="AB5" s="5" t="s">
        <v>24</v>
      </c>
      <c r="AC5" s="5" t="s">
        <v>27</v>
      </c>
      <c r="AD5" s="11">
        <v>100</v>
      </c>
      <c r="AE5" s="5">
        <v>14</v>
      </c>
      <c r="AF5" s="5">
        <v>45</v>
      </c>
      <c r="AG5" s="5" t="s">
        <v>12</v>
      </c>
      <c r="AH5" s="7" t="s">
        <v>8</v>
      </c>
      <c r="AI5" s="12">
        <f t="shared" si="2"/>
        <v>1400</v>
      </c>
    </row>
    <row r="6" spans="1:35" x14ac:dyDescent="0.25">
      <c r="A6" s="5" t="s">
        <v>11</v>
      </c>
      <c r="B6" s="5" t="s">
        <v>27</v>
      </c>
      <c r="C6" s="11">
        <v>35</v>
      </c>
      <c r="D6" s="5">
        <v>35</v>
      </c>
      <c r="E6" s="5">
        <v>212</v>
      </c>
      <c r="F6" s="5" t="s">
        <v>13</v>
      </c>
      <c r="G6" s="7" t="s">
        <v>6</v>
      </c>
      <c r="H6" s="12">
        <f>C6*D6</f>
        <v>1225</v>
      </c>
      <c r="J6" s="5" t="s">
        <v>4</v>
      </c>
      <c r="K6" s="5" t="s">
        <v>27</v>
      </c>
      <c r="L6" s="11">
        <v>60</v>
      </c>
      <c r="M6" s="5">
        <v>23</v>
      </c>
      <c r="N6" s="5">
        <v>12</v>
      </c>
      <c r="O6" s="5" t="s">
        <v>13</v>
      </c>
      <c r="P6" s="7" t="s">
        <v>6</v>
      </c>
      <c r="Q6" s="12">
        <f t="shared" si="0"/>
        <v>1380</v>
      </c>
      <c r="S6" s="5" t="s">
        <v>23</v>
      </c>
      <c r="T6" s="5" t="s">
        <v>27</v>
      </c>
      <c r="U6" s="11">
        <v>100</v>
      </c>
      <c r="V6" s="5">
        <v>20</v>
      </c>
      <c r="W6" s="5">
        <v>42</v>
      </c>
      <c r="X6" s="5" t="s">
        <v>13</v>
      </c>
      <c r="Y6" s="7" t="s">
        <v>6</v>
      </c>
      <c r="Z6" s="12">
        <f t="shared" si="1"/>
        <v>2000</v>
      </c>
      <c r="AB6" s="5" t="s">
        <v>24</v>
      </c>
      <c r="AC6" s="5" t="s">
        <v>27</v>
      </c>
      <c r="AD6" s="11">
        <v>100</v>
      </c>
      <c r="AE6" s="5">
        <v>13</v>
      </c>
      <c r="AF6" s="5">
        <v>76</v>
      </c>
      <c r="AG6" s="5" t="s">
        <v>13</v>
      </c>
      <c r="AH6" s="7" t="s">
        <v>6</v>
      </c>
      <c r="AI6" s="12">
        <f t="shared" si="2"/>
        <v>1300</v>
      </c>
    </row>
    <row r="7" spans="1:35" x14ac:dyDescent="0.25">
      <c r="A7" s="5" t="s">
        <v>11</v>
      </c>
      <c r="B7" s="5" t="s">
        <v>27</v>
      </c>
      <c r="C7" s="11">
        <v>35</v>
      </c>
      <c r="D7" s="5">
        <v>99</v>
      </c>
      <c r="E7" s="5">
        <v>187</v>
      </c>
      <c r="F7" s="5" t="s">
        <v>13</v>
      </c>
      <c r="G7" s="7" t="s">
        <v>8</v>
      </c>
      <c r="H7" s="12">
        <f t="shared" si="3"/>
        <v>3465</v>
      </c>
      <c r="J7" s="5" t="s">
        <v>4</v>
      </c>
      <c r="K7" s="5" t="s">
        <v>27</v>
      </c>
      <c r="L7" s="11">
        <v>60</v>
      </c>
      <c r="M7" s="5">
        <v>35</v>
      </c>
      <c r="N7" s="5">
        <v>17</v>
      </c>
      <c r="O7" s="5" t="s">
        <v>13</v>
      </c>
      <c r="P7" s="7" t="s">
        <v>8</v>
      </c>
      <c r="Q7" s="12">
        <f t="shared" si="0"/>
        <v>2100</v>
      </c>
      <c r="S7" s="5" t="s">
        <v>23</v>
      </c>
      <c r="T7" s="5" t="s">
        <v>27</v>
      </c>
      <c r="U7" s="11">
        <v>100</v>
      </c>
      <c r="V7" s="5">
        <v>15</v>
      </c>
      <c r="W7" s="5">
        <v>27</v>
      </c>
      <c r="X7" s="5" t="s">
        <v>13</v>
      </c>
      <c r="Y7" s="7" t="s">
        <v>8</v>
      </c>
      <c r="Z7" s="12">
        <f t="shared" si="1"/>
        <v>1500</v>
      </c>
      <c r="AB7" s="5" t="s">
        <v>24</v>
      </c>
      <c r="AC7" s="5" t="s">
        <v>27</v>
      </c>
      <c r="AD7" s="11">
        <v>100</v>
      </c>
      <c r="AE7" s="5">
        <v>14</v>
      </c>
      <c r="AF7" s="5">
        <v>97</v>
      </c>
      <c r="AG7" s="5" t="s">
        <v>13</v>
      </c>
      <c r="AH7" s="7" t="s">
        <v>8</v>
      </c>
      <c r="AI7" s="12">
        <f t="shared" si="2"/>
        <v>1400</v>
      </c>
    </row>
    <row r="8" spans="1:35" x14ac:dyDescent="0.25">
      <c r="A8" s="5" t="s">
        <v>11</v>
      </c>
      <c r="B8" s="5" t="s">
        <v>27</v>
      </c>
      <c r="C8" s="11">
        <v>35</v>
      </c>
      <c r="D8" s="5">
        <v>40</v>
      </c>
      <c r="E8" s="5">
        <v>177</v>
      </c>
      <c r="F8" s="5" t="s">
        <v>14</v>
      </c>
      <c r="G8" s="7" t="s">
        <v>6</v>
      </c>
      <c r="H8" s="12">
        <f t="shared" si="3"/>
        <v>1400</v>
      </c>
      <c r="J8" s="5" t="s">
        <v>4</v>
      </c>
      <c r="K8" s="5" t="s">
        <v>27</v>
      </c>
      <c r="L8" s="11">
        <v>60</v>
      </c>
      <c r="M8" s="5">
        <v>34</v>
      </c>
      <c r="N8" s="5">
        <v>17</v>
      </c>
      <c r="O8" s="5" t="s">
        <v>14</v>
      </c>
      <c r="P8" s="7" t="s">
        <v>6</v>
      </c>
      <c r="Q8" s="12">
        <f t="shared" si="0"/>
        <v>2040</v>
      </c>
      <c r="S8" s="5" t="s">
        <v>23</v>
      </c>
      <c r="T8" s="5" t="s">
        <v>27</v>
      </c>
      <c r="U8" s="11">
        <v>100</v>
      </c>
      <c r="V8" s="5">
        <v>26</v>
      </c>
      <c r="W8" s="5">
        <v>57</v>
      </c>
      <c r="X8" s="5" t="s">
        <v>14</v>
      </c>
      <c r="Y8" s="7" t="s">
        <v>6</v>
      </c>
      <c r="Z8" s="12">
        <f t="shared" si="1"/>
        <v>2600</v>
      </c>
      <c r="AB8" s="5" t="s">
        <v>24</v>
      </c>
      <c r="AC8" s="5" t="s">
        <v>27</v>
      </c>
      <c r="AD8" s="11">
        <v>100</v>
      </c>
      <c r="AE8" s="5">
        <v>18</v>
      </c>
      <c r="AF8" s="5">
        <v>87</v>
      </c>
      <c r="AG8" s="5" t="s">
        <v>14</v>
      </c>
      <c r="AH8" s="7" t="s">
        <v>6</v>
      </c>
      <c r="AI8" s="12">
        <f t="shared" si="2"/>
        <v>1800</v>
      </c>
    </row>
    <row r="9" spans="1:35" x14ac:dyDescent="0.25">
      <c r="A9" s="5" t="s">
        <v>11</v>
      </c>
      <c r="B9" s="5" t="s">
        <v>27</v>
      </c>
      <c r="C9" s="11">
        <v>35</v>
      </c>
      <c r="D9" s="5">
        <v>37</v>
      </c>
      <c r="E9" s="5">
        <v>167</v>
      </c>
      <c r="F9" s="5" t="s">
        <v>14</v>
      </c>
      <c r="G9" s="7" t="s">
        <v>8</v>
      </c>
      <c r="H9" s="12">
        <f t="shared" si="3"/>
        <v>1295</v>
      </c>
      <c r="J9" s="5" t="s">
        <v>4</v>
      </c>
      <c r="K9" s="5" t="s">
        <v>27</v>
      </c>
      <c r="L9" s="11">
        <v>60</v>
      </c>
      <c r="M9" s="5">
        <v>27</v>
      </c>
      <c r="N9" s="5">
        <v>38</v>
      </c>
      <c r="O9" s="5" t="s">
        <v>14</v>
      </c>
      <c r="P9" s="7" t="s">
        <v>8</v>
      </c>
      <c r="Q9" s="12">
        <f t="shared" si="0"/>
        <v>1620</v>
      </c>
      <c r="S9" s="5" t="s">
        <v>23</v>
      </c>
      <c r="T9" s="5" t="s">
        <v>27</v>
      </c>
      <c r="U9" s="11">
        <v>100</v>
      </c>
      <c r="V9" s="5">
        <v>17</v>
      </c>
      <c r="W9" s="5">
        <v>37</v>
      </c>
      <c r="X9" s="5" t="s">
        <v>14</v>
      </c>
      <c r="Y9" s="7" t="s">
        <v>8</v>
      </c>
      <c r="Z9" s="12">
        <f t="shared" si="1"/>
        <v>1700</v>
      </c>
      <c r="AB9" s="5" t="s">
        <v>24</v>
      </c>
      <c r="AC9" s="5" t="s">
        <v>27</v>
      </c>
      <c r="AD9" s="11">
        <v>100</v>
      </c>
      <c r="AE9" s="5">
        <v>27</v>
      </c>
      <c r="AF9" s="5">
        <v>37</v>
      </c>
      <c r="AG9" s="5" t="s">
        <v>14</v>
      </c>
      <c r="AH9" s="7" t="s">
        <v>8</v>
      </c>
      <c r="AI9" s="12">
        <f t="shared" si="2"/>
        <v>2700</v>
      </c>
    </row>
    <row r="10" spans="1:35" x14ac:dyDescent="0.25">
      <c r="A10" s="5" t="s">
        <v>11</v>
      </c>
      <c r="B10" s="5" t="s">
        <v>27</v>
      </c>
      <c r="C10" s="11">
        <v>35</v>
      </c>
      <c r="D10" s="5">
        <v>29</v>
      </c>
      <c r="E10" s="5">
        <v>156</v>
      </c>
      <c r="F10" s="5" t="s">
        <v>15</v>
      </c>
      <c r="G10" s="7" t="s">
        <v>6</v>
      </c>
      <c r="H10" s="12">
        <f>C10*D10</f>
        <v>1015</v>
      </c>
      <c r="J10" s="5" t="s">
        <v>4</v>
      </c>
      <c r="K10" s="5" t="s">
        <v>27</v>
      </c>
      <c r="L10" s="11">
        <v>60</v>
      </c>
      <c r="M10" s="5">
        <v>37</v>
      </c>
      <c r="N10" s="5">
        <v>56</v>
      </c>
      <c r="O10" s="5" t="s">
        <v>15</v>
      </c>
      <c r="P10" s="7" t="s">
        <v>6</v>
      </c>
      <c r="Q10" s="12">
        <f t="shared" si="0"/>
        <v>2220</v>
      </c>
      <c r="S10" s="5" t="s">
        <v>23</v>
      </c>
      <c r="T10" s="5" t="s">
        <v>27</v>
      </c>
      <c r="U10" s="11">
        <v>100</v>
      </c>
      <c r="V10" s="5">
        <v>17</v>
      </c>
      <c r="W10" s="5">
        <v>46</v>
      </c>
      <c r="X10" s="5" t="s">
        <v>15</v>
      </c>
      <c r="Y10" s="7" t="s">
        <v>6</v>
      </c>
      <c r="Z10" s="12">
        <f t="shared" si="1"/>
        <v>1700</v>
      </c>
      <c r="AB10" s="5" t="s">
        <v>24</v>
      </c>
      <c r="AC10" s="5" t="s">
        <v>27</v>
      </c>
      <c r="AD10" s="11">
        <v>100</v>
      </c>
      <c r="AE10" s="5">
        <v>17</v>
      </c>
      <c r="AF10" s="5">
        <v>56</v>
      </c>
      <c r="AG10" s="5" t="s">
        <v>15</v>
      </c>
      <c r="AH10" s="7" t="s">
        <v>6</v>
      </c>
      <c r="AI10" s="12">
        <f t="shared" si="2"/>
        <v>1700</v>
      </c>
    </row>
    <row r="11" spans="1:35" x14ac:dyDescent="0.25">
      <c r="A11" s="5" t="s">
        <v>11</v>
      </c>
      <c r="B11" s="5" t="s">
        <v>27</v>
      </c>
      <c r="C11" s="11">
        <v>35</v>
      </c>
      <c r="D11" s="5">
        <v>48</v>
      </c>
      <c r="E11" s="5">
        <v>175</v>
      </c>
      <c r="F11" s="5" t="s">
        <v>15</v>
      </c>
      <c r="G11" s="7" t="s">
        <v>8</v>
      </c>
      <c r="H11" s="12">
        <f t="shared" si="3"/>
        <v>1680</v>
      </c>
      <c r="J11" s="5" t="s">
        <v>4</v>
      </c>
      <c r="K11" s="5" t="s">
        <v>27</v>
      </c>
      <c r="L11" s="11">
        <v>60</v>
      </c>
      <c r="M11" s="5">
        <v>48</v>
      </c>
      <c r="N11" s="5">
        <v>15</v>
      </c>
      <c r="O11" s="5" t="s">
        <v>15</v>
      </c>
      <c r="P11" s="7" t="s">
        <v>8</v>
      </c>
      <c r="Q11" s="12">
        <f t="shared" si="0"/>
        <v>2880</v>
      </c>
      <c r="S11" s="5" t="s">
        <v>23</v>
      </c>
      <c r="T11" s="5" t="s">
        <v>27</v>
      </c>
      <c r="U11" s="11">
        <v>100</v>
      </c>
      <c r="V11" s="5">
        <v>12</v>
      </c>
      <c r="W11" s="5">
        <v>75</v>
      </c>
      <c r="X11" s="5" t="s">
        <v>15</v>
      </c>
      <c r="Y11" s="7" t="s">
        <v>8</v>
      </c>
      <c r="Z11" s="12">
        <f t="shared" si="1"/>
        <v>1200</v>
      </c>
      <c r="AB11" s="5" t="s">
        <v>24</v>
      </c>
      <c r="AC11" s="5" t="s">
        <v>27</v>
      </c>
      <c r="AD11" s="11">
        <v>100</v>
      </c>
      <c r="AE11" s="5">
        <v>15</v>
      </c>
      <c r="AF11" s="5">
        <v>75</v>
      </c>
      <c r="AG11" s="5" t="s">
        <v>15</v>
      </c>
      <c r="AH11" s="7" t="s">
        <v>8</v>
      </c>
      <c r="AI11" s="12">
        <f t="shared" si="2"/>
        <v>1500</v>
      </c>
    </row>
    <row r="12" spans="1:35" x14ac:dyDescent="0.25">
      <c r="A12" s="5" t="s">
        <v>11</v>
      </c>
      <c r="B12" s="5" t="s">
        <v>27</v>
      </c>
      <c r="C12" s="11">
        <v>35</v>
      </c>
      <c r="D12" s="5">
        <v>78</v>
      </c>
      <c r="E12" s="5">
        <v>145</v>
      </c>
      <c r="F12" s="5" t="s">
        <v>16</v>
      </c>
      <c r="G12" s="7" t="s">
        <v>6</v>
      </c>
      <c r="H12" s="12">
        <f t="shared" si="3"/>
        <v>2730</v>
      </c>
      <c r="J12" s="5" t="s">
        <v>4</v>
      </c>
      <c r="K12" s="5" t="s">
        <v>27</v>
      </c>
      <c r="L12" s="11">
        <v>60</v>
      </c>
      <c r="M12" s="5">
        <v>36</v>
      </c>
      <c r="N12" s="5">
        <v>15</v>
      </c>
      <c r="O12" s="5" t="s">
        <v>16</v>
      </c>
      <c r="P12" s="7" t="s">
        <v>6</v>
      </c>
      <c r="Q12" s="12">
        <f t="shared" si="0"/>
        <v>2160</v>
      </c>
      <c r="S12" s="5" t="s">
        <v>23</v>
      </c>
      <c r="T12" s="5" t="s">
        <v>27</v>
      </c>
      <c r="U12" s="11">
        <v>100</v>
      </c>
      <c r="V12" s="5">
        <v>26</v>
      </c>
      <c r="W12" s="5">
        <v>75</v>
      </c>
      <c r="X12" s="5" t="s">
        <v>16</v>
      </c>
      <c r="Y12" s="7" t="s">
        <v>6</v>
      </c>
      <c r="Z12" s="12">
        <f t="shared" si="1"/>
        <v>2600</v>
      </c>
      <c r="AB12" s="5" t="s">
        <v>24</v>
      </c>
      <c r="AC12" s="5" t="s">
        <v>27</v>
      </c>
      <c r="AD12" s="11">
        <v>100</v>
      </c>
      <c r="AE12" s="5">
        <v>14</v>
      </c>
      <c r="AF12" s="5">
        <v>75</v>
      </c>
      <c r="AG12" s="5" t="s">
        <v>16</v>
      </c>
      <c r="AH12" s="7" t="s">
        <v>6</v>
      </c>
      <c r="AI12" s="12">
        <f t="shared" si="2"/>
        <v>1400</v>
      </c>
    </row>
    <row r="13" spans="1:35" x14ac:dyDescent="0.25">
      <c r="A13" s="5" t="s">
        <v>11</v>
      </c>
      <c r="B13" s="5" t="s">
        <v>27</v>
      </c>
      <c r="C13" s="11">
        <v>35</v>
      </c>
      <c r="D13" s="5">
        <v>23</v>
      </c>
      <c r="E13" s="5">
        <v>172</v>
      </c>
      <c r="F13" s="5" t="s">
        <v>16</v>
      </c>
      <c r="G13" s="7" t="s">
        <v>8</v>
      </c>
      <c r="H13" s="12">
        <f t="shared" si="3"/>
        <v>805</v>
      </c>
      <c r="J13" s="5" t="s">
        <v>4</v>
      </c>
      <c r="K13" s="5" t="s">
        <v>27</v>
      </c>
      <c r="L13" s="11">
        <v>60</v>
      </c>
      <c r="M13" s="5">
        <v>27</v>
      </c>
      <c r="N13" s="5">
        <v>12</v>
      </c>
      <c r="O13" s="5" t="s">
        <v>16</v>
      </c>
      <c r="P13" s="7" t="s">
        <v>8</v>
      </c>
      <c r="Q13" s="12">
        <f t="shared" si="0"/>
        <v>1620</v>
      </c>
      <c r="S13" s="5" t="s">
        <v>23</v>
      </c>
      <c r="T13" s="5" t="s">
        <v>27</v>
      </c>
      <c r="U13" s="11">
        <v>100</v>
      </c>
      <c r="V13" s="5">
        <v>37</v>
      </c>
      <c r="W13" s="5">
        <v>72</v>
      </c>
      <c r="X13" s="5" t="s">
        <v>16</v>
      </c>
      <c r="Y13" s="7" t="s">
        <v>8</v>
      </c>
      <c r="Z13" s="12">
        <f t="shared" si="1"/>
        <v>3700</v>
      </c>
      <c r="AB13" s="5" t="s">
        <v>24</v>
      </c>
      <c r="AC13" s="5" t="s">
        <v>27</v>
      </c>
      <c r="AD13" s="11">
        <v>100</v>
      </c>
      <c r="AE13" s="5">
        <v>17</v>
      </c>
      <c r="AF13" s="5">
        <v>72</v>
      </c>
      <c r="AG13" s="5" t="s">
        <v>16</v>
      </c>
      <c r="AH13" s="7" t="s">
        <v>8</v>
      </c>
      <c r="AI13" s="12">
        <f t="shared" si="2"/>
        <v>1700</v>
      </c>
    </row>
    <row r="14" spans="1:35" x14ac:dyDescent="0.25">
      <c r="A14" s="5" t="s">
        <v>11</v>
      </c>
      <c r="B14" s="5" t="s">
        <v>27</v>
      </c>
      <c r="C14" s="11">
        <v>35</v>
      </c>
      <c r="D14" s="5">
        <v>42</v>
      </c>
      <c r="E14" s="5">
        <v>125</v>
      </c>
      <c r="F14" s="5" t="s">
        <v>17</v>
      </c>
      <c r="G14" s="7" t="s">
        <v>6</v>
      </c>
      <c r="H14" s="12">
        <f t="shared" si="3"/>
        <v>1470</v>
      </c>
      <c r="J14" s="5" t="s">
        <v>4</v>
      </c>
      <c r="K14" s="5" t="s">
        <v>27</v>
      </c>
      <c r="L14" s="11">
        <v>60</v>
      </c>
      <c r="M14" s="5">
        <v>35</v>
      </c>
      <c r="N14" s="5">
        <v>25</v>
      </c>
      <c r="O14" s="5" t="s">
        <v>17</v>
      </c>
      <c r="P14" s="7" t="s">
        <v>6</v>
      </c>
      <c r="Q14" s="12">
        <f t="shared" si="0"/>
        <v>2100</v>
      </c>
      <c r="S14" s="5" t="s">
        <v>23</v>
      </c>
      <c r="T14" s="5" t="s">
        <v>27</v>
      </c>
      <c r="U14" s="11">
        <v>100</v>
      </c>
      <c r="V14" s="5">
        <v>25</v>
      </c>
      <c r="W14" s="5">
        <v>55</v>
      </c>
      <c r="X14" s="5" t="s">
        <v>17</v>
      </c>
      <c r="Y14" s="7" t="s">
        <v>6</v>
      </c>
      <c r="Z14" s="12">
        <f t="shared" si="1"/>
        <v>2500</v>
      </c>
      <c r="AB14" s="5" t="s">
        <v>24</v>
      </c>
      <c r="AC14" s="5" t="s">
        <v>27</v>
      </c>
      <c r="AD14" s="11">
        <v>100</v>
      </c>
      <c r="AE14" s="5">
        <v>15</v>
      </c>
      <c r="AF14" s="5">
        <v>75</v>
      </c>
      <c r="AG14" s="5" t="s">
        <v>17</v>
      </c>
      <c r="AH14" s="7" t="s">
        <v>6</v>
      </c>
      <c r="AI14" s="12">
        <f t="shared" si="2"/>
        <v>1500</v>
      </c>
    </row>
    <row r="15" spans="1:35" x14ac:dyDescent="0.25">
      <c r="A15" s="5" t="s">
        <v>11</v>
      </c>
      <c r="B15" s="5" t="s">
        <v>27</v>
      </c>
      <c r="C15" s="11">
        <v>35</v>
      </c>
      <c r="D15" s="5">
        <v>57</v>
      </c>
      <c r="E15" s="5">
        <v>135</v>
      </c>
      <c r="F15" s="5" t="s">
        <v>17</v>
      </c>
      <c r="G15" s="7" t="s">
        <v>8</v>
      </c>
      <c r="H15" s="12">
        <f t="shared" si="3"/>
        <v>1995</v>
      </c>
      <c r="J15" s="5" t="s">
        <v>4</v>
      </c>
      <c r="K15" s="5" t="s">
        <v>27</v>
      </c>
      <c r="L15" s="11">
        <v>60</v>
      </c>
      <c r="M15" s="5">
        <v>38</v>
      </c>
      <c r="N15" s="5">
        <v>35</v>
      </c>
      <c r="O15" s="5" t="s">
        <v>17</v>
      </c>
      <c r="P15" s="7" t="s">
        <v>8</v>
      </c>
      <c r="Q15" s="12">
        <f t="shared" si="0"/>
        <v>2280</v>
      </c>
      <c r="S15" s="5" t="s">
        <v>23</v>
      </c>
      <c r="T15" s="5" t="s">
        <v>27</v>
      </c>
      <c r="U15" s="11">
        <v>100</v>
      </c>
      <c r="V15" s="5">
        <v>28</v>
      </c>
      <c r="W15" s="5">
        <v>75</v>
      </c>
      <c r="X15" s="5" t="s">
        <v>17</v>
      </c>
      <c r="Y15" s="7" t="s">
        <v>8</v>
      </c>
      <c r="Z15" s="12">
        <f t="shared" si="1"/>
        <v>2800</v>
      </c>
      <c r="AB15" s="5" t="s">
        <v>24</v>
      </c>
      <c r="AC15" s="5" t="s">
        <v>27</v>
      </c>
      <c r="AD15" s="11">
        <v>100</v>
      </c>
      <c r="AE15" s="5">
        <v>18</v>
      </c>
      <c r="AF15" s="5">
        <v>76</v>
      </c>
      <c r="AG15" s="5" t="s">
        <v>17</v>
      </c>
      <c r="AH15" s="7" t="s">
        <v>8</v>
      </c>
      <c r="AI15" s="12">
        <f t="shared" si="2"/>
        <v>1800</v>
      </c>
    </row>
    <row r="16" spans="1:35" x14ac:dyDescent="0.25">
      <c r="A16" s="5" t="s">
        <v>11</v>
      </c>
      <c r="B16" s="5" t="s">
        <v>27</v>
      </c>
      <c r="C16" s="11">
        <v>35</v>
      </c>
      <c r="D16" s="5">
        <v>98</v>
      </c>
      <c r="E16" s="5">
        <v>147</v>
      </c>
      <c r="F16" s="5" t="s">
        <v>18</v>
      </c>
      <c r="G16" s="7" t="s">
        <v>6</v>
      </c>
      <c r="H16" s="12">
        <f t="shared" si="3"/>
        <v>3430</v>
      </c>
      <c r="J16" s="5" t="s">
        <v>4</v>
      </c>
      <c r="K16" s="5" t="s">
        <v>27</v>
      </c>
      <c r="L16" s="11">
        <v>60</v>
      </c>
      <c r="M16" s="5">
        <v>38</v>
      </c>
      <c r="N16" s="5">
        <v>47</v>
      </c>
      <c r="O16" s="5" t="s">
        <v>18</v>
      </c>
      <c r="P16" s="7" t="s">
        <v>6</v>
      </c>
      <c r="Q16" s="12">
        <f t="shared" si="0"/>
        <v>2280</v>
      </c>
      <c r="S16" s="5" t="s">
        <v>23</v>
      </c>
      <c r="T16" s="5" t="s">
        <v>27</v>
      </c>
      <c r="U16" s="11">
        <v>100</v>
      </c>
      <c r="V16" s="5">
        <v>23</v>
      </c>
      <c r="W16" s="5">
        <v>47</v>
      </c>
      <c r="X16" s="5" t="s">
        <v>18</v>
      </c>
      <c r="Y16" s="7" t="s">
        <v>6</v>
      </c>
      <c r="Z16" s="12">
        <f t="shared" si="1"/>
        <v>2300</v>
      </c>
      <c r="AB16" s="5" t="s">
        <v>24</v>
      </c>
      <c r="AC16" s="5" t="s">
        <v>27</v>
      </c>
      <c r="AD16" s="11">
        <v>100</v>
      </c>
      <c r="AE16" s="5">
        <v>13</v>
      </c>
      <c r="AF16" s="5">
        <v>87</v>
      </c>
      <c r="AG16" s="5" t="s">
        <v>18</v>
      </c>
      <c r="AH16" s="7" t="s">
        <v>6</v>
      </c>
      <c r="AI16" s="12">
        <f t="shared" si="2"/>
        <v>1300</v>
      </c>
    </row>
    <row r="17" spans="1:35" x14ac:dyDescent="0.25">
      <c r="A17" s="5" t="s">
        <v>11</v>
      </c>
      <c r="B17" s="5" t="s">
        <v>27</v>
      </c>
      <c r="C17" s="11">
        <v>35</v>
      </c>
      <c r="D17" s="5">
        <v>67</v>
      </c>
      <c r="E17" s="5">
        <v>157</v>
      </c>
      <c r="F17" s="5" t="s">
        <v>18</v>
      </c>
      <c r="G17" s="7" t="s">
        <v>8</v>
      </c>
      <c r="H17" s="12">
        <f t="shared" si="3"/>
        <v>2345</v>
      </c>
      <c r="J17" s="5" t="s">
        <v>4</v>
      </c>
      <c r="K17" s="5" t="s">
        <v>27</v>
      </c>
      <c r="L17" s="11">
        <v>60</v>
      </c>
      <c r="M17" s="5">
        <v>37</v>
      </c>
      <c r="N17" s="5">
        <v>57</v>
      </c>
      <c r="O17" s="5" t="s">
        <v>18</v>
      </c>
      <c r="P17" s="7" t="s">
        <v>8</v>
      </c>
      <c r="Q17" s="12">
        <f t="shared" si="0"/>
        <v>2220</v>
      </c>
      <c r="S17" s="5" t="s">
        <v>23</v>
      </c>
      <c r="T17" s="5" t="s">
        <v>27</v>
      </c>
      <c r="U17" s="11">
        <v>100</v>
      </c>
      <c r="V17" s="5">
        <v>27</v>
      </c>
      <c r="W17" s="5">
        <v>57</v>
      </c>
      <c r="X17" s="5" t="s">
        <v>18</v>
      </c>
      <c r="Y17" s="7" t="s">
        <v>8</v>
      </c>
      <c r="Z17" s="12">
        <f t="shared" si="1"/>
        <v>2700</v>
      </c>
      <c r="AB17" s="5" t="s">
        <v>24</v>
      </c>
      <c r="AC17" s="5" t="s">
        <v>27</v>
      </c>
      <c r="AD17" s="11">
        <v>100</v>
      </c>
      <c r="AE17" s="5">
        <v>17</v>
      </c>
      <c r="AF17" s="5">
        <v>22</v>
      </c>
      <c r="AG17" s="5" t="s">
        <v>18</v>
      </c>
      <c r="AH17" s="7" t="s">
        <v>8</v>
      </c>
      <c r="AI17" s="12">
        <f t="shared" si="2"/>
        <v>1700</v>
      </c>
    </row>
    <row r="18" spans="1:35" x14ac:dyDescent="0.25">
      <c r="A18" s="5" t="s">
        <v>11</v>
      </c>
      <c r="B18" s="5" t="s">
        <v>27</v>
      </c>
      <c r="C18" s="11">
        <v>35</v>
      </c>
      <c r="D18" s="5">
        <v>55</v>
      </c>
      <c r="E18" s="5">
        <v>146</v>
      </c>
      <c r="F18" s="5" t="s">
        <v>19</v>
      </c>
      <c r="G18" s="7" t="s">
        <v>6</v>
      </c>
      <c r="H18" s="12">
        <f t="shared" si="3"/>
        <v>1925</v>
      </c>
      <c r="J18" s="5" t="s">
        <v>4</v>
      </c>
      <c r="K18" s="5" t="s">
        <v>27</v>
      </c>
      <c r="L18" s="11">
        <v>60</v>
      </c>
      <c r="M18" s="5">
        <v>25</v>
      </c>
      <c r="N18" s="5">
        <v>46</v>
      </c>
      <c r="O18" s="5" t="s">
        <v>19</v>
      </c>
      <c r="P18" s="7" t="s">
        <v>6</v>
      </c>
      <c r="Q18" s="12">
        <f t="shared" si="0"/>
        <v>1500</v>
      </c>
      <c r="S18" s="5" t="s">
        <v>23</v>
      </c>
      <c r="T18" s="5" t="s">
        <v>27</v>
      </c>
      <c r="U18" s="11">
        <v>100</v>
      </c>
      <c r="V18" s="5">
        <v>33</v>
      </c>
      <c r="W18" s="5">
        <v>46</v>
      </c>
      <c r="X18" s="5" t="s">
        <v>19</v>
      </c>
      <c r="Y18" s="7" t="s">
        <v>6</v>
      </c>
      <c r="Z18" s="12">
        <f t="shared" si="1"/>
        <v>3300</v>
      </c>
      <c r="AB18" s="5" t="s">
        <v>24</v>
      </c>
      <c r="AC18" s="5" t="s">
        <v>27</v>
      </c>
      <c r="AD18" s="11">
        <v>100</v>
      </c>
      <c r="AE18" s="5">
        <v>15</v>
      </c>
      <c r="AF18" s="5">
        <v>45</v>
      </c>
      <c r="AG18" s="5" t="s">
        <v>19</v>
      </c>
      <c r="AH18" s="7" t="s">
        <v>6</v>
      </c>
      <c r="AI18" s="12">
        <f t="shared" si="2"/>
        <v>1500</v>
      </c>
    </row>
    <row r="19" spans="1:35" x14ac:dyDescent="0.25">
      <c r="A19" s="5" t="s">
        <v>11</v>
      </c>
      <c r="B19" s="5" t="s">
        <v>27</v>
      </c>
      <c r="C19" s="11">
        <v>35</v>
      </c>
      <c r="D19" s="5">
        <v>45</v>
      </c>
      <c r="E19" s="5">
        <v>134</v>
      </c>
      <c r="F19" s="5" t="s">
        <v>19</v>
      </c>
      <c r="G19" s="7" t="s">
        <v>6</v>
      </c>
      <c r="H19" s="12">
        <f t="shared" si="3"/>
        <v>1575</v>
      </c>
      <c r="J19" s="5" t="s">
        <v>4</v>
      </c>
      <c r="K19" s="5" t="s">
        <v>27</v>
      </c>
      <c r="L19" s="11">
        <v>60</v>
      </c>
      <c r="M19" s="5">
        <v>5</v>
      </c>
      <c r="N19" s="5">
        <v>34</v>
      </c>
      <c r="O19" s="5" t="s">
        <v>19</v>
      </c>
      <c r="P19" s="7" t="s">
        <v>6</v>
      </c>
      <c r="Q19" s="12">
        <f t="shared" si="0"/>
        <v>300</v>
      </c>
      <c r="S19" s="5" t="s">
        <v>23</v>
      </c>
      <c r="T19" s="5" t="s">
        <v>27</v>
      </c>
      <c r="U19" s="11">
        <v>100</v>
      </c>
      <c r="V19" s="5">
        <v>27</v>
      </c>
      <c r="W19" s="5">
        <v>44</v>
      </c>
      <c r="X19" s="5" t="s">
        <v>19</v>
      </c>
      <c r="Y19" s="7" t="s">
        <v>6</v>
      </c>
      <c r="Z19" s="12">
        <f t="shared" si="1"/>
        <v>2700</v>
      </c>
      <c r="AB19" s="5" t="s">
        <v>24</v>
      </c>
      <c r="AC19" s="5" t="s">
        <v>27</v>
      </c>
      <c r="AD19" s="11">
        <v>100</v>
      </c>
      <c r="AE19" s="5">
        <v>25</v>
      </c>
      <c r="AF19" s="5">
        <v>87</v>
      </c>
      <c r="AG19" s="5" t="s">
        <v>19</v>
      </c>
      <c r="AH19" s="7" t="s">
        <v>6</v>
      </c>
      <c r="AI19" s="12">
        <f t="shared" si="2"/>
        <v>2500</v>
      </c>
    </row>
    <row r="20" spans="1:35" x14ac:dyDescent="0.25">
      <c r="A20" s="5" t="s">
        <v>11</v>
      </c>
      <c r="B20" s="5" t="s">
        <v>27</v>
      </c>
      <c r="C20" s="11">
        <v>35</v>
      </c>
      <c r="D20" s="5">
        <v>45</v>
      </c>
      <c r="E20" s="5">
        <v>173</v>
      </c>
      <c r="F20" s="5" t="s">
        <v>20</v>
      </c>
      <c r="G20" s="7" t="s">
        <v>8</v>
      </c>
      <c r="H20" s="12">
        <f t="shared" si="3"/>
        <v>1575</v>
      </c>
      <c r="J20" s="5" t="s">
        <v>4</v>
      </c>
      <c r="K20" s="5" t="s">
        <v>27</v>
      </c>
      <c r="L20" s="11">
        <v>60</v>
      </c>
      <c r="M20" s="5">
        <v>15</v>
      </c>
      <c r="N20" s="5">
        <v>13</v>
      </c>
      <c r="O20" s="5" t="s">
        <v>20</v>
      </c>
      <c r="P20" s="7" t="s">
        <v>8</v>
      </c>
      <c r="Q20" s="12">
        <f t="shared" si="0"/>
        <v>900</v>
      </c>
      <c r="S20" s="5" t="s">
        <v>23</v>
      </c>
      <c r="T20" s="5" t="s">
        <v>27</v>
      </c>
      <c r="U20" s="11">
        <v>100</v>
      </c>
      <c r="V20" s="5">
        <v>25</v>
      </c>
      <c r="W20" s="5">
        <v>83</v>
      </c>
      <c r="X20" s="5" t="s">
        <v>20</v>
      </c>
      <c r="Y20" s="7" t="s">
        <v>8</v>
      </c>
      <c r="Z20" s="12">
        <f t="shared" si="1"/>
        <v>2500</v>
      </c>
      <c r="AB20" s="5" t="s">
        <v>24</v>
      </c>
      <c r="AC20" s="5" t="s">
        <v>27</v>
      </c>
      <c r="AD20" s="11">
        <v>100</v>
      </c>
      <c r="AE20" s="5">
        <v>18</v>
      </c>
      <c r="AF20" s="5">
        <v>65</v>
      </c>
      <c r="AG20" s="5" t="s">
        <v>20</v>
      </c>
      <c r="AH20" s="7" t="s">
        <v>8</v>
      </c>
      <c r="AI20" s="12">
        <f t="shared" si="2"/>
        <v>1800</v>
      </c>
    </row>
    <row r="21" spans="1:35" x14ac:dyDescent="0.25">
      <c r="A21" s="5" t="s">
        <v>11</v>
      </c>
      <c r="B21" s="5" t="s">
        <v>27</v>
      </c>
      <c r="C21" s="11">
        <v>35</v>
      </c>
      <c r="D21" s="5">
        <v>34</v>
      </c>
      <c r="E21" s="5">
        <v>193</v>
      </c>
      <c r="F21" s="5" t="s">
        <v>20</v>
      </c>
      <c r="G21" s="7" t="s">
        <v>6</v>
      </c>
      <c r="H21" s="12">
        <f t="shared" si="3"/>
        <v>1190</v>
      </c>
      <c r="J21" s="5" t="s">
        <v>4</v>
      </c>
      <c r="K21" s="5" t="s">
        <v>27</v>
      </c>
      <c r="L21" s="11">
        <v>60</v>
      </c>
      <c r="M21" s="5">
        <v>14</v>
      </c>
      <c r="N21" s="5">
        <v>19</v>
      </c>
      <c r="O21" s="5" t="s">
        <v>20</v>
      </c>
      <c r="P21" s="7" t="s">
        <v>6</v>
      </c>
      <c r="Q21" s="12">
        <f t="shared" si="0"/>
        <v>840</v>
      </c>
      <c r="S21" s="5" t="s">
        <v>23</v>
      </c>
      <c r="T21" s="5" t="s">
        <v>27</v>
      </c>
      <c r="U21" s="11">
        <v>100</v>
      </c>
      <c r="V21" s="5">
        <v>36</v>
      </c>
      <c r="W21" s="5">
        <v>63</v>
      </c>
      <c r="X21" s="5" t="s">
        <v>20</v>
      </c>
      <c r="Y21" s="7" t="s">
        <v>6</v>
      </c>
      <c r="Z21" s="12">
        <f t="shared" si="1"/>
        <v>3600</v>
      </c>
      <c r="AB21" s="5" t="s">
        <v>24</v>
      </c>
      <c r="AC21" s="5" t="s">
        <v>27</v>
      </c>
      <c r="AD21" s="11">
        <v>100</v>
      </c>
      <c r="AE21" s="5">
        <v>7</v>
      </c>
      <c r="AF21" s="5">
        <v>43</v>
      </c>
      <c r="AG21" s="5" t="s">
        <v>20</v>
      </c>
      <c r="AH21" s="7" t="s">
        <v>6</v>
      </c>
      <c r="AI21" s="12">
        <f t="shared" si="2"/>
        <v>700</v>
      </c>
    </row>
    <row r="22" spans="1:35" x14ac:dyDescent="0.25">
      <c r="A22" s="5" t="s">
        <v>11</v>
      </c>
      <c r="B22" s="5" t="s">
        <v>27</v>
      </c>
      <c r="C22" s="11">
        <v>35</v>
      </c>
      <c r="D22" s="5">
        <v>29</v>
      </c>
      <c r="E22" s="5">
        <v>135</v>
      </c>
      <c r="F22" s="5" t="s">
        <v>21</v>
      </c>
      <c r="G22" s="7" t="s">
        <v>8</v>
      </c>
      <c r="H22" s="12">
        <f t="shared" si="3"/>
        <v>1015</v>
      </c>
      <c r="J22" s="5" t="s">
        <v>4</v>
      </c>
      <c r="K22" s="5" t="s">
        <v>27</v>
      </c>
      <c r="L22" s="11">
        <v>60</v>
      </c>
      <c r="M22" s="5">
        <v>19</v>
      </c>
      <c r="N22" s="5">
        <v>35</v>
      </c>
      <c r="O22" s="5" t="s">
        <v>21</v>
      </c>
      <c r="P22" s="7" t="s">
        <v>8</v>
      </c>
      <c r="Q22" s="12">
        <f t="shared" si="0"/>
        <v>1140</v>
      </c>
      <c r="S22" s="5" t="s">
        <v>23</v>
      </c>
      <c r="T22" s="5" t="s">
        <v>27</v>
      </c>
      <c r="U22" s="11">
        <v>100</v>
      </c>
      <c r="V22" s="5">
        <v>39</v>
      </c>
      <c r="W22" s="5">
        <v>45</v>
      </c>
      <c r="X22" s="5" t="s">
        <v>21</v>
      </c>
      <c r="Y22" s="7" t="s">
        <v>8</v>
      </c>
      <c r="Z22" s="12">
        <f t="shared" si="1"/>
        <v>3900</v>
      </c>
      <c r="AB22" s="5" t="s">
        <v>24</v>
      </c>
      <c r="AC22" s="5" t="s">
        <v>27</v>
      </c>
      <c r="AD22" s="11">
        <v>100</v>
      </c>
      <c r="AE22" s="5">
        <v>5</v>
      </c>
      <c r="AF22" s="5">
        <v>36</v>
      </c>
      <c r="AG22" s="5" t="s">
        <v>21</v>
      </c>
      <c r="AH22" s="7" t="s">
        <v>8</v>
      </c>
      <c r="AI22" s="12">
        <f t="shared" si="2"/>
        <v>500</v>
      </c>
    </row>
    <row r="23" spans="1:35" x14ac:dyDescent="0.25">
      <c r="A23" s="5" t="s">
        <v>11</v>
      </c>
      <c r="B23" s="5" t="s">
        <v>27</v>
      </c>
      <c r="C23" s="11">
        <v>35</v>
      </c>
      <c r="D23" s="5">
        <v>24</v>
      </c>
      <c r="E23" s="5">
        <v>156</v>
      </c>
      <c r="F23" s="5" t="s">
        <v>21</v>
      </c>
      <c r="G23" s="7" t="s">
        <v>6</v>
      </c>
      <c r="H23" s="12">
        <f t="shared" si="3"/>
        <v>840</v>
      </c>
      <c r="J23" s="5" t="s">
        <v>4</v>
      </c>
      <c r="K23" s="5" t="s">
        <v>27</v>
      </c>
      <c r="L23" s="11">
        <v>60</v>
      </c>
      <c r="M23" s="5">
        <v>39</v>
      </c>
      <c r="N23" s="5">
        <v>56</v>
      </c>
      <c r="O23" s="5" t="s">
        <v>21</v>
      </c>
      <c r="P23" s="7" t="s">
        <v>6</v>
      </c>
      <c r="Q23" s="12">
        <f t="shared" si="0"/>
        <v>2340</v>
      </c>
      <c r="S23" s="5" t="s">
        <v>23</v>
      </c>
      <c r="T23" s="5" t="s">
        <v>27</v>
      </c>
      <c r="U23" s="11">
        <v>100</v>
      </c>
      <c r="V23" s="5">
        <v>29</v>
      </c>
      <c r="W23" s="5">
        <v>46</v>
      </c>
      <c r="X23" s="5" t="s">
        <v>21</v>
      </c>
      <c r="Y23" s="7" t="s">
        <v>6</v>
      </c>
      <c r="Z23" s="12">
        <f t="shared" si="1"/>
        <v>2900</v>
      </c>
      <c r="AB23" s="5" t="s">
        <v>24</v>
      </c>
      <c r="AC23" s="5" t="s">
        <v>27</v>
      </c>
      <c r="AD23" s="11">
        <v>100</v>
      </c>
      <c r="AE23" s="5">
        <v>23</v>
      </c>
      <c r="AF23" s="5">
        <v>87</v>
      </c>
      <c r="AG23" s="5" t="s">
        <v>21</v>
      </c>
      <c r="AH23" s="7" t="s">
        <v>6</v>
      </c>
      <c r="AI23" s="12">
        <f t="shared" si="2"/>
        <v>2300</v>
      </c>
    </row>
    <row r="24" spans="1:35" x14ac:dyDescent="0.25">
      <c r="A24" s="5" t="s">
        <v>11</v>
      </c>
      <c r="B24" s="5" t="s">
        <v>27</v>
      </c>
      <c r="C24" s="11">
        <v>35</v>
      </c>
      <c r="D24" s="5">
        <v>48</v>
      </c>
      <c r="E24" s="5">
        <v>153</v>
      </c>
      <c r="F24" s="5" t="s">
        <v>22</v>
      </c>
      <c r="G24" s="7" t="s">
        <v>8</v>
      </c>
      <c r="H24" s="12">
        <f t="shared" si="3"/>
        <v>1680</v>
      </c>
      <c r="J24" s="5" t="s">
        <v>4</v>
      </c>
      <c r="K24" s="5" t="s">
        <v>27</v>
      </c>
      <c r="L24" s="11">
        <v>60</v>
      </c>
      <c r="M24" s="5">
        <v>38</v>
      </c>
      <c r="N24" s="5">
        <v>13</v>
      </c>
      <c r="O24" s="5" t="s">
        <v>22</v>
      </c>
      <c r="P24" s="7" t="s">
        <v>8</v>
      </c>
      <c r="Q24" s="12">
        <f t="shared" si="0"/>
        <v>2280</v>
      </c>
      <c r="S24" s="5" t="s">
        <v>23</v>
      </c>
      <c r="T24" s="5" t="s">
        <v>27</v>
      </c>
      <c r="U24" s="11">
        <v>100</v>
      </c>
      <c r="V24" s="5">
        <v>48</v>
      </c>
      <c r="W24" s="5">
        <v>53</v>
      </c>
      <c r="X24" s="5" t="s">
        <v>22</v>
      </c>
      <c r="Y24" s="7" t="s">
        <v>8</v>
      </c>
      <c r="Z24" s="12">
        <f t="shared" si="1"/>
        <v>4800</v>
      </c>
      <c r="AB24" s="5" t="s">
        <v>24</v>
      </c>
      <c r="AC24" s="5" t="s">
        <v>27</v>
      </c>
      <c r="AD24" s="11">
        <v>100</v>
      </c>
      <c r="AE24" s="5">
        <v>28</v>
      </c>
      <c r="AF24" s="5">
        <v>45</v>
      </c>
      <c r="AG24" s="5" t="s">
        <v>22</v>
      </c>
      <c r="AH24" s="7" t="s">
        <v>8</v>
      </c>
      <c r="AI24" s="12">
        <f t="shared" si="2"/>
        <v>2800</v>
      </c>
    </row>
    <row r="25" spans="1:35" x14ac:dyDescent="0.25">
      <c r="A25" s="5" t="s">
        <v>11</v>
      </c>
      <c r="B25" s="5" t="s">
        <v>27</v>
      </c>
      <c r="C25" s="11">
        <v>35</v>
      </c>
      <c r="D25" s="5">
        <v>89</v>
      </c>
      <c r="E25" s="5">
        <v>158</v>
      </c>
      <c r="F25" s="5" t="s">
        <v>22</v>
      </c>
      <c r="G25" s="7" t="s">
        <v>6</v>
      </c>
      <c r="H25" s="12">
        <f t="shared" si="3"/>
        <v>3115</v>
      </c>
      <c r="J25" s="5" t="s">
        <v>4</v>
      </c>
      <c r="K25" s="5" t="s">
        <v>27</v>
      </c>
      <c r="L25" s="11">
        <v>60</v>
      </c>
      <c r="M25" s="5">
        <v>49</v>
      </c>
      <c r="N25" s="5">
        <v>58</v>
      </c>
      <c r="O25" s="5" t="s">
        <v>22</v>
      </c>
      <c r="P25" s="7" t="s">
        <v>6</v>
      </c>
      <c r="Q25" s="12">
        <f t="shared" si="0"/>
        <v>2940</v>
      </c>
      <c r="S25" s="5" t="s">
        <v>23</v>
      </c>
      <c r="T25" s="5" t="s">
        <v>27</v>
      </c>
      <c r="U25" s="11">
        <v>100</v>
      </c>
      <c r="V25" s="5">
        <v>19</v>
      </c>
      <c r="W25" s="5">
        <v>78</v>
      </c>
      <c r="X25" s="5" t="s">
        <v>22</v>
      </c>
      <c r="Y25" s="7" t="s">
        <v>6</v>
      </c>
      <c r="Z25" s="12">
        <f t="shared" si="1"/>
        <v>1900</v>
      </c>
      <c r="AB25" s="5" t="s">
        <v>24</v>
      </c>
      <c r="AC25" s="5" t="s">
        <v>27</v>
      </c>
      <c r="AD25" s="11">
        <v>100</v>
      </c>
      <c r="AE25" s="5">
        <v>37</v>
      </c>
      <c r="AF25" s="5">
        <v>78</v>
      </c>
      <c r="AG25" s="5" t="s">
        <v>22</v>
      </c>
      <c r="AH25" s="7" t="s">
        <v>6</v>
      </c>
      <c r="AI25" s="12">
        <f t="shared" si="2"/>
        <v>3700</v>
      </c>
    </row>
  </sheetData>
  <pageMargins left="0.511811024" right="0.511811024" top="0.78740157499999996" bottom="0.78740157499999996" header="0.31496062000000002" footer="0.31496062000000002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2"/>
  <dimension ref="D6:E21"/>
  <sheetViews>
    <sheetView workbookViewId="0">
      <selection activeCell="E3" sqref="E3"/>
    </sheetView>
  </sheetViews>
  <sheetFormatPr defaultRowHeight="15" x14ac:dyDescent="0.25"/>
  <cols>
    <col min="4" max="4" width="18" customWidth="1"/>
    <col min="5" max="5" width="20.5703125" bestFit="1" customWidth="1"/>
  </cols>
  <sheetData>
    <row r="6" spans="4:5" x14ac:dyDescent="0.25">
      <c r="D6" s="1" t="s">
        <v>2</v>
      </c>
      <c r="E6" t="s">
        <v>42</v>
      </c>
    </row>
    <row r="8" spans="4:5" x14ac:dyDescent="0.25">
      <c r="D8" s="1" t="s">
        <v>9</v>
      </c>
      <c r="E8" t="s">
        <v>29</v>
      </c>
    </row>
    <row r="9" spans="4:5" x14ac:dyDescent="0.25">
      <c r="D9" s="15" t="s">
        <v>7</v>
      </c>
      <c r="E9" s="13">
        <v>193940</v>
      </c>
    </row>
    <row r="10" spans="4:5" x14ac:dyDescent="0.25">
      <c r="D10" s="15" t="s">
        <v>12</v>
      </c>
      <c r="E10" s="13">
        <v>194950</v>
      </c>
    </row>
    <row r="11" spans="4:5" x14ac:dyDescent="0.25">
      <c r="D11" s="15" t="s">
        <v>13</v>
      </c>
      <c r="E11" s="13">
        <v>161845</v>
      </c>
    </row>
    <row r="12" spans="4:5" x14ac:dyDescent="0.25">
      <c r="D12" s="15" t="s">
        <v>14</v>
      </c>
      <c r="E12" s="13">
        <v>213420</v>
      </c>
    </row>
    <row r="13" spans="4:5" x14ac:dyDescent="0.25">
      <c r="D13" s="15" t="s">
        <v>15</v>
      </c>
      <c r="E13" s="13">
        <v>214590</v>
      </c>
    </row>
    <row r="14" spans="4:5" x14ac:dyDescent="0.25">
      <c r="D14" s="15" t="s">
        <v>16</v>
      </c>
      <c r="E14" s="13">
        <v>204295</v>
      </c>
    </row>
    <row r="15" spans="4:5" x14ac:dyDescent="0.25">
      <c r="D15" s="15" t="s">
        <v>17</v>
      </c>
      <c r="E15" s="13">
        <v>162525</v>
      </c>
    </row>
    <row r="16" spans="4:5" x14ac:dyDescent="0.25">
      <c r="D16" s="15" t="s">
        <v>18</v>
      </c>
      <c r="E16" s="13">
        <v>136085</v>
      </c>
    </row>
    <row r="17" spans="4:5" x14ac:dyDescent="0.25">
      <c r="D17" s="15" t="s">
        <v>19</v>
      </c>
      <c r="E17" s="13">
        <v>227175</v>
      </c>
    </row>
    <row r="18" spans="4:5" x14ac:dyDescent="0.25">
      <c r="D18" s="15" t="s">
        <v>20</v>
      </c>
      <c r="E18" s="13">
        <v>202695</v>
      </c>
    </row>
    <row r="19" spans="4:5" x14ac:dyDescent="0.25">
      <c r="D19" s="15" t="s">
        <v>21</v>
      </c>
      <c r="E19" s="13">
        <v>165750</v>
      </c>
    </row>
    <row r="20" spans="4:5" x14ac:dyDescent="0.25">
      <c r="D20" s="15" t="s">
        <v>22</v>
      </c>
      <c r="E20" s="13">
        <v>289965</v>
      </c>
    </row>
    <row r="21" spans="4:5" x14ac:dyDescent="0.25">
      <c r="D21" s="15" t="s">
        <v>10</v>
      </c>
      <c r="E21" s="13">
        <v>2367235</v>
      </c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3"/>
  <dimension ref="C1:D39"/>
  <sheetViews>
    <sheetView workbookViewId="0">
      <selection activeCell="C1" sqref="C1"/>
    </sheetView>
  </sheetViews>
  <sheetFormatPr defaultRowHeight="15" x14ac:dyDescent="0.25"/>
  <cols>
    <col min="3" max="3" width="18" bestFit="1" customWidth="1"/>
    <col min="4" max="5" width="20.5703125" bestFit="1" customWidth="1"/>
  </cols>
  <sheetData>
    <row r="1" spans="3:4" x14ac:dyDescent="0.25">
      <c r="C1" s="1" t="s">
        <v>9</v>
      </c>
      <c r="D1" t="s">
        <v>29</v>
      </c>
    </row>
    <row r="2" spans="3:4" x14ac:dyDescent="0.25">
      <c r="C2" s="2">
        <v>12</v>
      </c>
      <c r="D2" s="13">
        <v>1120</v>
      </c>
    </row>
    <row r="3" spans="3:4" x14ac:dyDescent="0.25">
      <c r="C3" s="2">
        <v>13</v>
      </c>
      <c r="D3" s="13">
        <v>6700</v>
      </c>
    </row>
    <row r="4" spans="3:4" x14ac:dyDescent="0.25">
      <c r="C4" s="2">
        <v>15</v>
      </c>
      <c r="D4" s="13">
        <v>22600</v>
      </c>
    </row>
    <row r="5" spans="3:4" x14ac:dyDescent="0.25">
      <c r="C5" s="2">
        <v>18</v>
      </c>
      <c r="D5" s="13">
        <v>18600</v>
      </c>
    </row>
    <row r="6" spans="3:4" x14ac:dyDescent="0.25">
      <c r="C6" s="2">
        <v>23</v>
      </c>
      <c r="D6" s="13">
        <v>31920</v>
      </c>
    </row>
    <row r="7" spans="3:4" x14ac:dyDescent="0.25">
      <c r="C7" s="2">
        <v>25</v>
      </c>
      <c r="D7" s="13">
        <v>26700</v>
      </c>
    </row>
    <row r="8" spans="3:4" x14ac:dyDescent="0.25">
      <c r="C8" s="2">
        <v>43</v>
      </c>
      <c r="D8" s="13">
        <v>7500</v>
      </c>
    </row>
    <row r="9" spans="3:4" x14ac:dyDescent="0.25">
      <c r="C9" s="2">
        <v>45</v>
      </c>
      <c r="D9" s="13">
        <v>6900</v>
      </c>
    </row>
    <row r="10" spans="3:4" x14ac:dyDescent="0.25">
      <c r="C10" s="2">
        <v>46</v>
      </c>
      <c r="D10" s="13">
        <v>12000</v>
      </c>
    </row>
    <row r="11" spans="3:4" x14ac:dyDescent="0.25">
      <c r="C11" s="2">
        <v>47</v>
      </c>
      <c r="D11" s="13">
        <v>4500</v>
      </c>
    </row>
    <row r="12" spans="3:4" x14ac:dyDescent="0.25">
      <c r="C12" s="2">
        <v>65</v>
      </c>
      <c r="D12" s="13">
        <v>19400</v>
      </c>
    </row>
    <row r="13" spans="3:4" x14ac:dyDescent="0.25">
      <c r="C13" s="2">
        <v>78</v>
      </c>
      <c r="D13" s="13">
        <v>12000</v>
      </c>
    </row>
    <row r="14" spans="3:4" x14ac:dyDescent="0.25">
      <c r="C14" s="2">
        <v>20</v>
      </c>
      <c r="D14" s="13">
        <v>500</v>
      </c>
    </row>
    <row r="15" spans="3:4" x14ac:dyDescent="0.25">
      <c r="C15" s="2">
        <v>7</v>
      </c>
      <c r="D15" s="13">
        <v>1120</v>
      </c>
    </row>
    <row r="16" spans="3:4" x14ac:dyDescent="0.25">
      <c r="C16" s="2">
        <v>16</v>
      </c>
      <c r="D16" s="13">
        <v>9400</v>
      </c>
    </row>
    <row r="17" spans="3:4" x14ac:dyDescent="0.25">
      <c r="C17" s="2">
        <v>69</v>
      </c>
      <c r="D17" s="13">
        <v>13200</v>
      </c>
    </row>
    <row r="18" spans="3:4" x14ac:dyDescent="0.25">
      <c r="C18" s="2">
        <v>54</v>
      </c>
      <c r="D18" s="13">
        <v>7500</v>
      </c>
    </row>
    <row r="19" spans="3:4" x14ac:dyDescent="0.25">
      <c r="C19" s="2">
        <v>28</v>
      </c>
      <c r="D19" s="13">
        <v>15700</v>
      </c>
    </row>
    <row r="20" spans="3:4" x14ac:dyDescent="0.25">
      <c r="C20" s="2">
        <v>3</v>
      </c>
      <c r="D20" s="13">
        <v>2500</v>
      </c>
    </row>
    <row r="21" spans="3:4" x14ac:dyDescent="0.25">
      <c r="C21" s="2">
        <v>48</v>
      </c>
      <c r="D21" s="13">
        <v>6700</v>
      </c>
    </row>
    <row r="22" spans="3:4" x14ac:dyDescent="0.25">
      <c r="C22" s="2">
        <v>150</v>
      </c>
      <c r="D22" s="13">
        <v>9800</v>
      </c>
    </row>
    <row r="23" spans="3:4" x14ac:dyDescent="0.25">
      <c r="C23" s="2">
        <v>102</v>
      </c>
      <c r="D23" s="13">
        <v>16500</v>
      </c>
    </row>
    <row r="24" spans="3:4" x14ac:dyDescent="0.25">
      <c r="C24" s="2">
        <v>64</v>
      </c>
      <c r="D24" s="13">
        <v>4800</v>
      </c>
    </row>
    <row r="25" spans="3:4" x14ac:dyDescent="0.25">
      <c r="C25" s="2">
        <v>98</v>
      </c>
      <c r="D25" s="13">
        <v>25400</v>
      </c>
    </row>
    <row r="26" spans="3:4" x14ac:dyDescent="0.25">
      <c r="C26" s="2">
        <v>74</v>
      </c>
      <c r="D26" s="13">
        <v>5900</v>
      </c>
    </row>
    <row r="27" spans="3:4" x14ac:dyDescent="0.25">
      <c r="C27" s="2">
        <v>89</v>
      </c>
      <c r="D27" s="13">
        <v>5500</v>
      </c>
    </row>
    <row r="28" spans="3:4" x14ac:dyDescent="0.25">
      <c r="C28" s="2">
        <v>100</v>
      </c>
      <c r="D28" s="13">
        <v>21200</v>
      </c>
    </row>
    <row r="29" spans="3:4" x14ac:dyDescent="0.25">
      <c r="C29" s="2">
        <v>52</v>
      </c>
      <c r="D29" s="13">
        <v>122800</v>
      </c>
    </row>
    <row r="30" spans="3:4" x14ac:dyDescent="0.25">
      <c r="C30" s="2">
        <v>90</v>
      </c>
      <c r="D30" s="13">
        <v>76200</v>
      </c>
    </row>
    <row r="31" spans="3:4" x14ac:dyDescent="0.25">
      <c r="C31" s="2">
        <v>106</v>
      </c>
      <c r="D31" s="13">
        <v>23600</v>
      </c>
    </row>
    <row r="32" spans="3:4" x14ac:dyDescent="0.25">
      <c r="C32" s="2">
        <v>105</v>
      </c>
      <c r="D32" s="13">
        <v>85700</v>
      </c>
    </row>
    <row r="33" spans="3:4" x14ac:dyDescent="0.25">
      <c r="C33" s="2">
        <v>142</v>
      </c>
      <c r="D33" s="13">
        <v>55700</v>
      </c>
    </row>
    <row r="34" spans="3:4" x14ac:dyDescent="0.25">
      <c r="C34" s="2">
        <v>140</v>
      </c>
      <c r="D34" s="13">
        <v>1646360</v>
      </c>
    </row>
    <row r="35" spans="3:4" x14ac:dyDescent="0.25">
      <c r="C35" s="2">
        <v>50</v>
      </c>
      <c r="D35" s="13">
        <v>600</v>
      </c>
    </row>
    <row r="36" spans="3:4" x14ac:dyDescent="0.25">
      <c r="C36" s="2">
        <v>0</v>
      </c>
      <c r="D36" s="13">
        <v>4500</v>
      </c>
    </row>
    <row r="37" spans="3:4" x14ac:dyDescent="0.25">
      <c r="C37" s="2">
        <v>67</v>
      </c>
      <c r="D37" s="13">
        <v>6050</v>
      </c>
    </row>
    <row r="38" spans="3:4" x14ac:dyDescent="0.25">
      <c r="C38" s="2">
        <v>266</v>
      </c>
      <c r="D38" s="13">
        <v>30065</v>
      </c>
    </row>
    <row r="39" spans="3:4" x14ac:dyDescent="0.25">
      <c r="C39" s="15" t="s">
        <v>10</v>
      </c>
      <c r="D39" s="13">
        <v>2367235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4"/>
  <dimension ref="B2:C5"/>
  <sheetViews>
    <sheetView workbookViewId="0">
      <selection activeCell="B2" sqref="B2"/>
    </sheetView>
  </sheetViews>
  <sheetFormatPr defaultRowHeight="15" x14ac:dyDescent="0.25"/>
  <cols>
    <col min="2" max="2" width="18" bestFit="1" customWidth="1"/>
    <col min="3" max="3" width="20.5703125" bestFit="1" customWidth="1"/>
  </cols>
  <sheetData>
    <row r="2" spans="2:3" x14ac:dyDescent="0.25">
      <c r="B2" s="1" t="s">
        <v>9</v>
      </c>
      <c r="C2" t="s">
        <v>29</v>
      </c>
    </row>
    <row r="3" spans="2:3" x14ac:dyDescent="0.25">
      <c r="B3" s="2" t="s">
        <v>6</v>
      </c>
      <c r="C3" s="3">
        <v>1064400</v>
      </c>
    </row>
    <row r="4" spans="2:3" x14ac:dyDescent="0.25">
      <c r="B4" s="2" t="s">
        <v>8</v>
      </c>
      <c r="C4" s="3">
        <v>1302835</v>
      </c>
    </row>
    <row r="5" spans="2:3" x14ac:dyDescent="0.25">
      <c r="B5" s="2" t="s">
        <v>10</v>
      </c>
      <c r="C5" s="3">
        <v>2367235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5"/>
  <dimension ref="D5:E18"/>
  <sheetViews>
    <sheetView workbookViewId="0">
      <selection activeCell="D6" sqref="D6"/>
    </sheetView>
  </sheetViews>
  <sheetFormatPr defaultRowHeight="15" x14ac:dyDescent="0.25"/>
  <cols>
    <col min="4" max="4" width="18" customWidth="1"/>
    <col min="5" max="5" width="17.85546875" customWidth="1"/>
    <col min="6" max="6" width="5.28515625" customWidth="1"/>
    <col min="7" max="7" width="10.7109375" customWidth="1"/>
    <col min="8" max="8" width="5" customWidth="1"/>
    <col min="9" max="9" width="5.42578125" customWidth="1"/>
    <col min="10" max="10" width="6.140625" customWidth="1"/>
    <col min="11" max="11" width="5.5703125" customWidth="1"/>
    <col min="12" max="12" width="6.85546875" customWidth="1"/>
    <col min="13" max="13" width="9.5703125" customWidth="1"/>
    <col min="14" max="14" width="8.140625" customWidth="1"/>
    <col min="15" max="15" width="10.140625" customWidth="1"/>
    <col min="16" max="16" width="10" customWidth="1"/>
    <col min="17" max="17" width="10.7109375" customWidth="1"/>
    <col min="18" max="19" width="11.140625" bestFit="1" customWidth="1"/>
    <col min="20" max="20" width="14.28515625" bestFit="1" customWidth="1"/>
    <col min="21" max="27" width="8.28515625" customWidth="1"/>
    <col min="28" max="28" width="11.28515625" bestFit="1" customWidth="1"/>
    <col min="29" max="35" width="6.85546875" customWidth="1"/>
    <col min="36" max="36" width="9.85546875" bestFit="1" customWidth="1"/>
    <col min="37" max="42" width="7.28515625" customWidth="1"/>
    <col min="43" max="43" width="10.28515625" bestFit="1" customWidth="1"/>
    <col min="44" max="51" width="8" customWidth="1"/>
    <col min="52" max="52" width="11" bestFit="1" customWidth="1"/>
    <col min="53" max="60" width="7.42578125" customWidth="1"/>
    <col min="61" max="61" width="10.42578125" bestFit="1" customWidth="1"/>
    <col min="62" max="69" width="8.7109375" customWidth="1"/>
    <col min="70" max="70" width="11.7109375" bestFit="1" customWidth="1"/>
    <col min="71" max="77" width="11.42578125" bestFit="1" customWidth="1"/>
    <col min="78" max="78" width="14.5703125" bestFit="1" customWidth="1"/>
    <col min="79" max="86" width="10" bestFit="1" customWidth="1"/>
    <col min="87" max="87" width="13.140625" bestFit="1" customWidth="1"/>
    <col min="88" max="93" width="12" bestFit="1" customWidth="1"/>
    <col min="94" max="94" width="15.140625" bestFit="1" customWidth="1"/>
    <col min="95" max="101" width="11.85546875" bestFit="1" customWidth="1"/>
    <col min="102" max="102" width="15" bestFit="1" customWidth="1"/>
    <col min="103" max="103" width="10.7109375" bestFit="1" customWidth="1"/>
  </cols>
  <sheetData>
    <row r="5" spans="4:5" x14ac:dyDescent="0.25">
      <c r="D5" s="1" t="s">
        <v>9</v>
      </c>
      <c r="E5" t="s">
        <v>32</v>
      </c>
    </row>
    <row r="6" spans="4:5" x14ac:dyDescent="0.25">
      <c r="D6" s="2" t="s">
        <v>7</v>
      </c>
      <c r="E6" s="3">
        <v>3207</v>
      </c>
    </row>
    <row r="7" spans="4:5" x14ac:dyDescent="0.25">
      <c r="D7" s="2" t="s">
        <v>12</v>
      </c>
      <c r="E7" s="3">
        <v>3311</v>
      </c>
    </row>
    <row r="8" spans="4:5" x14ac:dyDescent="0.25">
      <c r="D8" s="2" t="s">
        <v>13</v>
      </c>
      <c r="E8" s="3">
        <v>2587</v>
      </c>
    </row>
    <row r="9" spans="4:5" x14ac:dyDescent="0.25">
      <c r="D9" s="2" t="s">
        <v>14</v>
      </c>
      <c r="E9" s="3">
        <v>3291</v>
      </c>
    </row>
    <row r="10" spans="4:5" x14ac:dyDescent="0.25">
      <c r="D10" s="2" t="s">
        <v>15</v>
      </c>
      <c r="E10" s="3">
        <v>3472</v>
      </c>
    </row>
    <row r="11" spans="4:5" x14ac:dyDescent="0.25">
      <c r="D11" s="2" t="s">
        <v>16</v>
      </c>
      <c r="E11" s="3">
        <v>2539</v>
      </c>
    </row>
    <row r="12" spans="4:5" x14ac:dyDescent="0.25">
      <c r="D12" s="2" t="s">
        <v>17</v>
      </c>
      <c r="E12" s="3">
        <v>2251</v>
      </c>
    </row>
    <row r="13" spans="4:5" x14ac:dyDescent="0.25">
      <c r="D13" s="2" t="s">
        <v>18</v>
      </c>
      <c r="E13" s="3">
        <v>2000</v>
      </c>
    </row>
    <row r="14" spans="4:5" x14ac:dyDescent="0.25">
      <c r="D14" s="2" t="s">
        <v>19</v>
      </c>
      <c r="E14" s="3">
        <v>3674</v>
      </c>
    </row>
    <row r="15" spans="4:5" x14ac:dyDescent="0.25">
      <c r="D15" s="2" t="s">
        <v>20</v>
      </c>
      <c r="E15" s="3">
        <v>3344</v>
      </c>
    </row>
    <row r="16" spans="4:5" x14ac:dyDescent="0.25">
      <c r="D16" s="2" t="s">
        <v>21</v>
      </c>
      <c r="E16" s="3">
        <v>2622</v>
      </c>
    </row>
    <row r="17" spans="4:5" x14ac:dyDescent="0.25">
      <c r="D17" s="2" t="s">
        <v>22</v>
      </c>
      <c r="E17" s="3">
        <v>4228</v>
      </c>
    </row>
    <row r="18" spans="4:5" x14ac:dyDescent="0.25">
      <c r="D18" s="2" t="s">
        <v>10</v>
      </c>
      <c r="E18" s="3">
        <v>36526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6"/>
  <dimension ref="C2:J24"/>
  <sheetViews>
    <sheetView workbookViewId="0">
      <selection activeCell="J39" sqref="J39"/>
    </sheetView>
  </sheetViews>
  <sheetFormatPr defaultRowHeight="15" x14ac:dyDescent="0.25"/>
  <cols>
    <col min="3" max="3" width="18" customWidth="1"/>
    <col min="4" max="4" width="20.5703125" bestFit="1" customWidth="1"/>
    <col min="5" max="5" width="17.85546875" bestFit="1" customWidth="1"/>
    <col min="9" max="9" width="18" bestFit="1" customWidth="1"/>
    <col min="10" max="10" width="20.5703125" bestFit="1" customWidth="1"/>
  </cols>
  <sheetData>
    <row r="2" spans="3:4" x14ac:dyDescent="0.25">
      <c r="C2" s="1" t="s">
        <v>5</v>
      </c>
      <c r="D2" t="s">
        <v>42</v>
      </c>
    </row>
    <row r="4" spans="3:4" x14ac:dyDescent="0.25">
      <c r="C4" s="1" t="s">
        <v>9</v>
      </c>
      <c r="D4" s="14" t="s">
        <v>29</v>
      </c>
    </row>
    <row r="5" spans="3:4" x14ac:dyDescent="0.25">
      <c r="C5" s="2" t="s">
        <v>11</v>
      </c>
      <c r="D5" s="13">
        <v>373425</v>
      </c>
    </row>
    <row r="6" spans="3:4" x14ac:dyDescent="0.25">
      <c r="C6" s="2" t="s">
        <v>24</v>
      </c>
      <c r="D6" s="13">
        <v>592340</v>
      </c>
    </row>
    <row r="7" spans="3:4" x14ac:dyDescent="0.25">
      <c r="C7" s="2" t="s">
        <v>4</v>
      </c>
      <c r="D7" s="13">
        <v>669760</v>
      </c>
    </row>
    <row r="8" spans="3:4" x14ac:dyDescent="0.25">
      <c r="C8" s="2" t="s">
        <v>23</v>
      </c>
      <c r="D8" s="13">
        <v>731710</v>
      </c>
    </row>
    <row r="9" spans="3:4" x14ac:dyDescent="0.25">
      <c r="C9" s="2" t="s">
        <v>10</v>
      </c>
      <c r="D9" s="13">
        <v>2367235</v>
      </c>
    </row>
    <row r="23" spans="9:10" x14ac:dyDescent="0.25">
      <c r="I23" s="15"/>
      <c r="J23" s="13"/>
    </row>
    <row r="24" spans="9:10" x14ac:dyDescent="0.25">
      <c r="I24" s="15"/>
      <c r="J24" s="13"/>
    </row>
  </sheetData>
  <pageMargins left="0.511811024" right="0.511811024" top="0.78740157499999996" bottom="0.78740157499999996" header="0.31496062000000002" footer="0.31496062000000002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7"/>
  <dimension ref="B1:V277"/>
  <sheetViews>
    <sheetView showGridLines="0" workbookViewId="0">
      <selection activeCell="B2" sqref="B2:I2"/>
    </sheetView>
  </sheetViews>
  <sheetFormatPr defaultRowHeight="15" x14ac:dyDescent="0.25"/>
  <cols>
    <col min="4" max="4" width="10.5703125" bestFit="1" customWidth="1"/>
    <col min="7" max="7" width="10.140625" bestFit="1" customWidth="1"/>
    <col min="8" max="8" width="15.42578125" bestFit="1" customWidth="1"/>
    <col min="9" max="9" width="12.28515625" bestFit="1" customWidth="1"/>
    <col min="11" max="11" width="10.28515625" customWidth="1"/>
    <col min="17" max="17" width="15.42578125" bestFit="1" customWidth="1"/>
    <col min="18" max="18" width="12.28515625" bestFit="1" customWidth="1"/>
  </cols>
  <sheetData>
    <row r="1" spans="2:22" x14ac:dyDescent="0.25">
      <c r="B1" s="4" t="s">
        <v>2</v>
      </c>
      <c r="C1" s="4" t="s">
        <v>26</v>
      </c>
      <c r="D1" s="4" t="s">
        <v>25</v>
      </c>
      <c r="E1" s="4" t="s">
        <v>0</v>
      </c>
      <c r="F1" s="4" t="s">
        <v>1</v>
      </c>
      <c r="G1" s="4" t="s">
        <v>5</v>
      </c>
      <c r="H1" s="4" t="s">
        <v>31</v>
      </c>
      <c r="I1" s="4" t="s">
        <v>28</v>
      </c>
      <c r="J1" s="20"/>
      <c r="K1" s="17"/>
      <c r="L1" s="17"/>
      <c r="M1" s="17"/>
      <c r="N1" s="17"/>
      <c r="O1" s="17"/>
      <c r="P1" s="17"/>
      <c r="Q1" s="17"/>
      <c r="R1" s="17"/>
    </row>
    <row r="2" spans="2:22" ht="15.75" x14ac:dyDescent="0.3">
      <c r="B2" s="29" t="s">
        <v>11</v>
      </c>
      <c r="C2" s="29" t="s">
        <v>27</v>
      </c>
      <c r="D2" s="31">
        <v>35</v>
      </c>
      <c r="E2" s="29">
        <v>150</v>
      </c>
      <c r="F2" s="29">
        <v>266</v>
      </c>
      <c r="G2" s="29" t="s">
        <v>14</v>
      </c>
      <c r="H2" s="29" t="s">
        <v>8</v>
      </c>
      <c r="I2" s="30">
        <f>D2*E2</f>
        <v>5250</v>
      </c>
      <c r="J2" s="20"/>
      <c r="K2" s="17"/>
      <c r="L2" s="17"/>
      <c r="M2" s="17"/>
      <c r="N2" s="17"/>
      <c r="O2" s="17"/>
      <c r="P2" s="17"/>
      <c r="Q2" s="17"/>
      <c r="R2" s="17"/>
    </row>
    <row r="3" spans="2:22" ht="15.75" x14ac:dyDescent="0.3">
      <c r="B3" s="29" t="s">
        <v>11</v>
      </c>
      <c r="C3" s="29" t="s">
        <v>27</v>
      </c>
      <c r="D3" s="31">
        <v>35</v>
      </c>
      <c r="E3" s="29">
        <v>150</v>
      </c>
      <c r="F3" s="29">
        <v>266</v>
      </c>
      <c r="G3" s="29" t="s">
        <v>15</v>
      </c>
      <c r="H3" s="29" t="s">
        <v>8</v>
      </c>
      <c r="I3" s="30">
        <f>D3*E3</f>
        <v>5250</v>
      </c>
      <c r="J3" s="20"/>
      <c r="K3" s="21"/>
      <c r="L3" s="21"/>
      <c r="M3" s="21"/>
      <c r="N3" s="21"/>
      <c r="O3" s="21"/>
      <c r="P3" s="21"/>
      <c r="Q3" s="21"/>
      <c r="R3" s="21"/>
    </row>
    <row r="4" spans="2:22" ht="15.75" x14ac:dyDescent="0.3">
      <c r="B4" s="29" t="s">
        <v>11</v>
      </c>
      <c r="C4" s="29" t="s">
        <v>27</v>
      </c>
      <c r="D4" s="31">
        <v>35</v>
      </c>
      <c r="E4" s="29">
        <v>150</v>
      </c>
      <c r="F4" s="29">
        <v>266</v>
      </c>
      <c r="G4" s="29" t="s">
        <v>13</v>
      </c>
      <c r="H4" s="29" t="s">
        <v>8</v>
      </c>
      <c r="I4" s="30">
        <f>D4*E4</f>
        <v>5250</v>
      </c>
      <c r="J4" s="20"/>
      <c r="K4" s="21"/>
      <c r="L4" s="21"/>
      <c r="M4" s="21"/>
      <c r="N4" s="21"/>
      <c r="O4" s="21"/>
      <c r="P4" s="21"/>
      <c r="Q4" s="21"/>
      <c r="R4" s="21"/>
    </row>
    <row r="5" spans="2:22" ht="15.75" x14ac:dyDescent="0.3">
      <c r="B5" s="29" t="s">
        <v>11</v>
      </c>
      <c r="C5" s="29" t="s">
        <v>27</v>
      </c>
      <c r="D5" s="31">
        <v>35</v>
      </c>
      <c r="E5" s="29">
        <v>150</v>
      </c>
      <c r="F5" s="29">
        <v>266</v>
      </c>
      <c r="G5" s="29" t="s">
        <v>12</v>
      </c>
      <c r="H5" s="29" t="s">
        <v>8</v>
      </c>
      <c r="I5" s="30">
        <f>D5*E5</f>
        <v>5250</v>
      </c>
      <c r="J5" s="20"/>
      <c r="K5" s="21"/>
      <c r="L5" s="21"/>
      <c r="M5" s="21"/>
      <c r="N5" s="21"/>
      <c r="O5" s="21"/>
      <c r="P5" s="21"/>
      <c r="Q5" t="s">
        <v>11</v>
      </c>
      <c r="R5" s="21"/>
      <c r="S5" t="s">
        <v>7</v>
      </c>
      <c r="V5" t="s">
        <v>6</v>
      </c>
    </row>
    <row r="6" spans="2:22" ht="15.75" x14ac:dyDescent="0.3">
      <c r="B6" s="29" t="s">
        <v>11</v>
      </c>
      <c r="C6" s="29" t="s">
        <v>27</v>
      </c>
      <c r="D6" s="31">
        <v>35</v>
      </c>
      <c r="E6" s="29">
        <v>150</v>
      </c>
      <c r="F6" s="29">
        <v>266</v>
      </c>
      <c r="G6" s="29" t="s">
        <v>7</v>
      </c>
      <c r="H6" s="29" t="s">
        <v>8</v>
      </c>
      <c r="I6" s="30">
        <f>D6*E6</f>
        <v>5250</v>
      </c>
      <c r="J6" s="20"/>
      <c r="K6" s="21"/>
      <c r="L6" s="21"/>
      <c r="M6" s="23"/>
      <c r="N6" s="21"/>
      <c r="O6" s="21"/>
      <c r="P6" s="21"/>
      <c r="Q6" t="s">
        <v>23</v>
      </c>
      <c r="R6" s="21"/>
      <c r="S6" t="s">
        <v>12</v>
      </c>
      <c r="V6" t="s">
        <v>8</v>
      </c>
    </row>
    <row r="7" spans="2:22" ht="15.75" x14ac:dyDescent="0.3">
      <c r="B7" s="29" t="s">
        <v>11</v>
      </c>
      <c r="C7" s="29" t="s">
        <v>27</v>
      </c>
      <c r="D7" s="31">
        <v>35</v>
      </c>
      <c r="E7" s="29">
        <v>109</v>
      </c>
      <c r="F7" s="29">
        <v>266</v>
      </c>
      <c r="G7" s="29" t="s">
        <v>20</v>
      </c>
      <c r="H7" s="29" t="s">
        <v>8</v>
      </c>
      <c r="I7" s="30">
        <f>D7*E7</f>
        <v>3815</v>
      </c>
      <c r="J7" s="20"/>
      <c r="K7" s="21"/>
      <c r="L7" s="21"/>
      <c r="M7" s="21"/>
      <c r="N7" s="21"/>
      <c r="O7" s="21"/>
      <c r="P7" s="21"/>
      <c r="Q7" t="s">
        <v>4</v>
      </c>
      <c r="R7" s="21"/>
      <c r="S7" t="s">
        <v>13</v>
      </c>
    </row>
    <row r="8" spans="2:22" ht="15.75" x14ac:dyDescent="0.3">
      <c r="B8" s="29" t="s">
        <v>11</v>
      </c>
      <c r="C8" s="29" t="s">
        <v>27</v>
      </c>
      <c r="D8" s="31">
        <v>35</v>
      </c>
      <c r="E8" s="29">
        <v>50</v>
      </c>
      <c r="F8" s="29">
        <v>67</v>
      </c>
      <c r="G8" s="29" t="s">
        <v>20</v>
      </c>
      <c r="H8" s="29" t="s">
        <v>8</v>
      </c>
      <c r="I8" s="30">
        <f>D8*E8</f>
        <v>1750</v>
      </c>
      <c r="K8" s="21"/>
      <c r="L8" s="21"/>
      <c r="M8" s="21"/>
      <c r="N8" s="21"/>
      <c r="O8" s="21"/>
      <c r="P8" s="21"/>
      <c r="Q8" t="s">
        <v>24</v>
      </c>
      <c r="R8" s="21"/>
      <c r="S8" t="s">
        <v>14</v>
      </c>
    </row>
    <row r="9" spans="2:22" ht="15.75" x14ac:dyDescent="0.3">
      <c r="B9" s="29" t="s">
        <v>24</v>
      </c>
      <c r="C9" s="29" t="s">
        <v>27</v>
      </c>
      <c r="D9" s="31">
        <v>100</v>
      </c>
      <c r="E9" s="29">
        <v>43</v>
      </c>
      <c r="F9" s="29">
        <v>67</v>
      </c>
      <c r="G9" s="29" t="s">
        <v>20</v>
      </c>
      <c r="H9" s="29" t="s">
        <v>8</v>
      </c>
      <c r="I9" s="30">
        <f>D9*E9</f>
        <v>4300</v>
      </c>
      <c r="K9" s="21"/>
      <c r="L9" s="21"/>
      <c r="M9" s="21"/>
      <c r="N9" s="21"/>
      <c r="O9" s="21"/>
      <c r="P9" s="21"/>
      <c r="Q9" s="21"/>
      <c r="R9" s="21"/>
      <c r="S9" t="s">
        <v>15</v>
      </c>
    </row>
    <row r="10" spans="2:22" x14ac:dyDescent="0.25">
      <c r="B10" s="24" t="s">
        <v>4</v>
      </c>
      <c r="C10" s="24" t="s">
        <v>27</v>
      </c>
      <c r="D10" s="25">
        <v>30</v>
      </c>
      <c r="E10" s="24">
        <v>50</v>
      </c>
      <c r="F10" s="24">
        <v>0</v>
      </c>
      <c r="G10" s="24" t="s">
        <v>20</v>
      </c>
      <c r="H10" s="24" t="s">
        <v>6</v>
      </c>
      <c r="I10" s="26">
        <f>D10*E10</f>
        <v>1500</v>
      </c>
      <c r="K10" s="21"/>
      <c r="L10" s="21"/>
      <c r="M10" s="21"/>
      <c r="N10" s="21"/>
      <c r="O10" s="21"/>
      <c r="P10" s="21"/>
      <c r="Q10" s="21"/>
      <c r="R10" s="21"/>
      <c r="S10" t="s">
        <v>16</v>
      </c>
    </row>
    <row r="11" spans="2:22" x14ac:dyDescent="0.25">
      <c r="B11" s="24" t="s">
        <v>4</v>
      </c>
      <c r="C11" s="24" t="s">
        <v>27</v>
      </c>
      <c r="D11" s="25">
        <v>30</v>
      </c>
      <c r="E11" s="24">
        <v>50</v>
      </c>
      <c r="F11" s="24">
        <v>0</v>
      </c>
      <c r="G11" s="24" t="s">
        <v>20</v>
      </c>
      <c r="H11" s="24" t="s">
        <v>6</v>
      </c>
      <c r="I11" s="26">
        <f>D11*E11</f>
        <v>1500</v>
      </c>
      <c r="K11" s="21"/>
      <c r="L11" s="21"/>
      <c r="M11" s="21"/>
      <c r="N11" s="21"/>
      <c r="O11" s="21"/>
      <c r="P11" s="21"/>
      <c r="Q11" s="21"/>
      <c r="R11" s="21"/>
      <c r="S11" t="s">
        <v>17</v>
      </c>
    </row>
    <row r="12" spans="2:22" x14ac:dyDescent="0.25">
      <c r="B12" s="24" t="s">
        <v>4</v>
      </c>
      <c r="C12" s="24" t="s">
        <v>27</v>
      </c>
      <c r="D12" s="25">
        <v>30</v>
      </c>
      <c r="E12" s="24">
        <v>50</v>
      </c>
      <c r="F12" s="24">
        <v>0</v>
      </c>
      <c r="G12" s="24" t="s">
        <v>20</v>
      </c>
      <c r="H12" s="24" t="s">
        <v>6</v>
      </c>
      <c r="I12" s="26">
        <f>D12*E12</f>
        <v>1500</v>
      </c>
      <c r="K12" s="21"/>
      <c r="L12" s="21"/>
      <c r="M12" s="21"/>
      <c r="N12" s="21"/>
      <c r="O12" s="21"/>
      <c r="P12" s="21"/>
      <c r="Q12" s="21" t="s">
        <v>27</v>
      </c>
      <c r="R12" s="21"/>
      <c r="S12" t="s">
        <v>18</v>
      </c>
    </row>
    <row r="13" spans="2:22" x14ac:dyDescent="0.25">
      <c r="B13" s="24" t="s">
        <v>23</v>
      </c>
      <c r="C13" s="24" t="s">
        <v>27</v>
      </c>
      <c r="D13" s="25">
        <v>20</v>
      </c>
      <c r="E13" s="24">
        <v>30</v>
      </c>
      <c r="F13" s="24">
        <v>50</v>
      </c>
      <c r="G13" s="24" t="s">
        <v>15</v>
      </c>
      <c r="H13" s="24" t="s">
        <v>8</v>
      </c>
      <c r="I13" s="26">
        <f>D13*E13</f>
        <v>600</v>
      </c>
      <c r="K13" s="21"/>
      <c r="L13" s="21"/>
      <c r="M13" s="21"/>
      <c r="N13" s="21"/>
      <c r="O13" s="21"/>
      <c r="P13" s="21"/>
      <c r="Q13" s="21"/>
      <c r="R13" s="21"/>
      <c r="S13" t="s">
        <v>19</v>
      </c>
    </row>
    <row r="14" spans="2:22" x14ac:dyDescent="0.25">
      <c r="B14" s="24" t="s">
        <v>11</v>
      </c>
      <c r="C14" s="24" t="s">
        <v>27</v>
      </c>
      <c r="D14" s="25">
        <v>50</v>
      </c>
      <c r="E14" s="24">
        <v>10</v>
      </c>
      <c r="F14" s="24">
        <v>20</v>
      </c>
      <c r="G14" s="24" t="s">
        <v>17</v>
      </c>
      <c r="H14" s="24" t="s">
        <v>6</v>
      </c>
      <c r="I14" s="26">
        <f>D14*E14</f>
        <v>500</v>
      </c>
      <c r="K14" s="21"/>
      <c r="L14" s="21"/>
      <c r="M14" s="21"/>
      <c r="N14" s="21"/>
      <c r="O14" s="21"/>
      <c r="P14" s="21"/>
      <c r="Q14" s="21"/>
      <c r="R14" s="21"/>
      <c r="S14" t="s">
        <v>20</v>
      </c>
    </row>
    <row r="15" spans="2:22" x14ac:dyDescent="0.25">
      <c r="B15" s="24" t="s">
        <v>24</v>
      </c>
      <c r="C15" s="24" t="s">
        <v>27</v>
      </c>
      <c r="D15" s="25">
        <v>100</v>
      </c>
      <c r="E15" s="24">
        <v>451</v>
      </c>
      <c r="F15" s="24">
        <v>140</v>
      </c>
      <c r="G15" s="24" t="s">
        <v>22</v>
      </c>
      <c r="H15" s="24" t="s">
        <v>8</v>
      </c>
      <c r="I15" s="26">
        <f t="shared" ref="I15:I46" si="0">D15*E15</f>
        <v>45100</v>
      </c>
      <c r="K15" s="21"/>
      <c r="L15" s="21"/>
      <c r="M15" s="21"/>
      <c r="N15" s="21"/>
      <c r="O15" s="21"/>
      <c r="P15" s="21"/>
      <c r="Q15" s="21"/>
      <c r="R15" s="21"/>
      <c r="S15" t="s">
        <v>21</v>
      </c>
    </row>
    <row r="16" spans="2:22" x14ac:dyDescent="0.25">
      <c r="B16" s="24" t="s">
        <v>24</v>
      </c>
      <c r="C16" s="24" t="s">
        <v>27</v>
      </c>
      <c r="D16" s="25">
        <v>100</v>
      </c>
      <c r="E16" s="24">
        <v>325</v>
      </c>
      <c r="F16" s="24">
        <v>140</v>
      </c>
      <c r="G16" s="24" t="s">
        <v>22</v>
      </c>
      <c r="H16" s="24" t="s">
        <v>6</v>
      </c>
      <c r="I16" s="26">
        <f t="shared" si="0"/>
        <v>32500</v>
      </c>
      <c r="K16" s="21"/>
      <c r="L16" s="21"/>
      <c r="M16" s="21"/>
      <c r="N16" s="21"/>
      <c r="O16" s="21"/>
      <c r="P16" s="21"/>
      <c r="Q16" s="21"/>
      <c r="R16" s="21"/>
      <c r="S16" t="s">
        <v>22</v>
      </c>
    </row>
    <row r="17" spans="2:18" x14ac:dyDescent="0.25">
      <c r="B17" s="24" t="s">
        <v>24</v>
      </c>
      <c r="C17" s="24" t="s">
        <v>27</v>
      </c>
      <c r="D17" s="25">
        <v>100</v>
      </c>
      <c r="E17" s="24">
        <v>104</v>
      </c>
      <c r="F17" s="24">
        <v>140</v>
      </c>
      <c r="G17" s="24" t="s">
        <v>21</v>
      </c>
      <c r="H17" s="24" t="s">
        <v>6</v>
      </c>
      <c r="I17" s="26">
        <f t="shared" si="0"/>
        <v>10400</v>
      </c>
      <c r="K17" s="21"/>
      <c r="L17" s="21"/>
      <c r="M17" s="21"/>
      <c r="N17" s="21"/>
      <c r="O17" s="21"/>
      <c r="P17" s="21"/>
      <c r="Q17" s="21"/>
      <c r="R17" s="21"/>
    </row>
    <row r="18" spans="2:18" x14ac:dyDescent="0.25">
      <c r="B18" s="24" t="s">
        <v>24</v>
      </c>
      <c r="C18" s="24" t="s">
        <v>27</v>
      </c>
      <c r="D18" s="25">
        <v>100</v>
      </c>
      <c r="E18" s="24">
        <v>210</v>
      </c>
      <c r="F18" s="24">
        <v>140</v>
      </c>
      <c r="G18" s="24" t="s">
        <v>21</v>
      </c>
      <c r="H18" s="24" t="s">
        <v>8</v>
      </c>
      <c r="I18" s="26">
        <f t="shared" si="0"/>
        <v>21000</v>
      </c>
      <c r="K18" s="21"/>
      <c r="L18" s="21"/>
      <c r="M18" s="21"/>
      <c r="N18" s="21"/>
      <c r="O18" s="21"/>
      <c r="P18" s="21"/>
      <c r="Q18" s="21"/>
      <c r="R18" s="21"/>
    </row>
    <row r="19" spans="2:18" x14ac:dyDescent="0.25">
      <c r="B19" s="24" t="s">
        <v>24</v>
      </c>
      <c r="C19" s="24" t="s">
        <v>27</v>
      </c>
      <c r="D19" s="25">
        <v>100</v>
      </c>
      <c r="E19" s="24">
        <v>210</v>
      </c>
      <c r="F19" s="24">
        <v>140</v>
      </c>
      <c r="G19" s="24" t="s">
        <v>20</v>
      </c>
      <c r="H19" s="24" t="s">
        <v>8</v>
      </c>
      <c r="I19" s="26">
        <f t="shared" si="0"/>
        <v>21000</v>
      </c>
      <c r="K19" s="21"/>
      <c r="L19" s="21"/>
      <c r="M19" s="21"/>
      <c r="N19" s="21"/>
      <c r="O19" s="21"/>
      <c r="P19" s="21"/>
      <c r="Q19" s="21"/>
      <c r="R19" s="21"/>
    </row>
    <row r="20" spans="2:18" x14ac:dyDescent="0.25">
      <c r="B20" s="24" t="s">
        <v>24</v>
      </c>
      <c r="C20" s="24" t="s">
        <v>27</v>
      </c>
      <c r="D20" s="25">
        <v>100</v>
      </c>
      <c r="E20" s="24">
        <v>304</v>
      </c>
      <c r="F20" s="24">
        <v>140</v>
      </c>
      <c r="G20" s="24" t="s">
        <v>20</v>
      </c>
      <c r="H20" s="24" t="s">
        <v>6</v>
      </c>
      <c r="I20" s="26">
        <f t="shared" si="0"/>
        <v>30400</v>
      </c>
      <c r="K20" s="21"/>
      <c r="L20" s="21"/>
      <c r="M20" s="21"/>
      <c r="N20" s="21"/>
      <c r="O20" s="21"/>
      <c r="P20" s="21"/>
      <c r="Q20" s="21"/>
      <c r="R20" s="21"/>
    </row>
    <row r="21" spans="2:18" x14ac:dyDescent="0.25">
      <c r="B21" s="24" t="s">
        <v>24</v>
      </c>
      <c r="C21" s="24" t="s">
        <v>27</v>
      </c>
      <c r="D21" s="25">
        <v>100</v>
      </c>
      <c r="E21" s="24">
        <v>204</v>
      </c>
      <c r="F21" s="24">
        <v>140</v>
      </c>
      <c r="G21" s="24" t="s">
        <v>19</v>
      </c>
      <c r="H21" s="24" t="s">
        <v>6</v>
      </c>
      <c r="I21" s="26">
        <f t="shared" si="0"/>
        <v>20400</v>
      </c>
      <c r="K21" s="21"/>
      <c r="L21" s="21"/>
      <c r="M21" s="21"/>
      <c r="N21" s="21"/>
      <c r="O21" s="21"/>
      <c r="P21" s="21"/>
      <c r="Q21" s="21"/>
      <c r="R21" s="21"/>
    </row>
    <row r="22" spans="2:18" x14ac:dyDescent="0.25">
      <c r="B22" s="24" t="s">
        <v>24</v>
      </c>
      <c r="C22" s="24" t="s">
        <v>27</v>
      </c>
      <c r="D22" s="25">
        <v>100</v>
      </c>
      <c r="E22" s="24">
        <v>203</v>
      </c>
      <c r="F22" s="24">
        <v>140</v>
      </c>
      <c r="G22" s="24" t="s">
        <v>19</v>
      </c>
      <c r="H22" s="24" t="s">
        <v>8</v>
      </c>
      <c r="I22" s="26">
        <f t="shared" si="0"/>
        <v>20300</v>
      </c>
      <c r="K22" s="21"/>
      <c r="L22" s="21"/>
      <c r="M22" s="21"/>
      <c r="N22" s="21"/>
      <c r="O22" s="21"/>
      <c r="P22" s="21"/>
      <c r="Q22" s="21"/>
      <c r="R22" s="21"/>
    </row>
    <row r="23" spans="2:18" x14ac:dyDescent="0.25">
      <c r="B23" s="24" t="s">
        <v>24</v>
      </c>
      <c r="C23" s="24" t="s">
        <v>27</v>
      </c>
      <c r="D23" s="25">
        <v>100</v>
      </c>
      <c r="E23" s="24">
        <v>233</v>
      </c>
      <c r="F23" s="24">
        <v>140</v>
      </c>
      <c r="G23" s="24" t="s">
        <v>18</v>
      </c>
      <c r="H23" s="24" t="s">
        <v>8</v>
      </c>
      <c r="I23" s="26">
        <f t="shared" si="0"/>
        <v>23300</v>
      </c>
      <c r="K23" s="21"/>
      <c r="L23" s="21"/>
      <c r="M23" s="21"/>
      <c r="N23" s="21"/>
      <c r="O23" s="21"/>
      <c r="P23" s="21"/>
      <c r="Q23" s="21"/>
      <c r="R23" s="21"/>
    </row>
    <row r="24" spans="2:18" x14ac:dyDescent="0.25">
      <c r="B24" s="24" t="s">
        <v>24</v>
      </c>
      <c r="C24" s="24" t="s">
        <v>27</v>
      </c>
      <c r="D24" s="25">
        <v>100</v>
      </c>
      <c r="E24" s="24">
        <v>145</v>
      </c>
      <c r="F24" s="24">
        <v>140</v>
      </c>
      <c r="G24" s="24" t="s">
        <v>18</v>
      </c>
      <c r="H24" s="24" t="s">
        <v>6</v>
      </c>
      <c r="I24" s="26">
        <f t="shared" si="0"/>
        <v>14500</v>
      </c>
      <c r="K24" s="21"/>
      <c r="L24" s="21"/>
      <c r="M24" s="21"/>
      <c r="N24" s="21"/>
      <c r="O24" s="21"/>
      <c r="P24" s="21"/>
      <c r="Q24" s="21"/>
      <c r="R24" s="21"/>
    </row>
    <row r="25" spans="2:18" x14ac:dyDescent="0.25">
      <c r="B25" s="24" t="s">
        <v>24</v>
      </c>
      <c r="C25" s="24" t="s">
        <v>27</v>
      </c>
      <c r="D25" s="25">
        <v>100</v>
      </c>
      <c r="E25" s="24">
        <v>124</v>
      </c>
      <c r="F25" s="24">
        <v>140</v>
      </c>
      <c r="G25" s="24" t="s">
        <v>17</v>
      </c>
      <c r="H25" s="24" t="s">
        <v>6</v>
      </c>
      <c r="I25" s="26">
        <f t="shared" si="0"/>
        <v>12400</v>
      </c>
      <c r="K25" s="21"/>
      <c r="L25" s="21"/>
      <c r="M25" s="21"/>
      <c r="N25" s="21"/>
      <c r="O25" s="21"/>
      <c r="P25" s="21"/>
      <c r="Q25" s="21"/>
      <c r="R25" s="21"/>
    </row>
    <row r="26" spans="2:18" x14ac:dyDescent="0.25">
      <c r="B26" s="24" t="s">
        <v>24</v>
      </c>
      <c r="C26" s="24" t="s">
        <v>27</v>
      </c>
      <c r="D26" s="25">
        <v>100</v>
      </c>
      <c r="E26" s="24">
        <v>245</v>
      </c>
      <c r="F26" s="24">
        <v>140</v>
      </c>
      <c r="G26" s="24" t="s">
        <v>17</v>
      </c>
      <c r="H26" s="24" t="s">
        <v>8</v>
      </c>
      <c r="I26" s="26">
        <f t="shared" si="0"/>
        <v>24500</v>
      </c>
      <c r="K26" s="21"/>
      <c r="L26" s="21"/>
      <c r="M26" s="21"/>
      <c r="N26" s="21"/>
      <c r="O26" s="21"/>
      <c r="P26" s="21"/>
      <c r="Q26" s="21"/>
      <c r="R26" s="21"/>
    </row>
    <row r="27" spans="2:18" x14ac:dyDescent="0.25">
      <c r="B27" s="24" t="s">
        <v>24</v>
      </c>
      <c r="C27" s="24" t="s">
        <v>27</v>
      </c>
      <c r="D27" s="25">
        <v>100</v>
      </c>
      <c r="E27" s="24">
        <v>120</v>
      </c>
      <c r="F27" s="24">
        <v>140</v>
      </c>
      <c r="G27" s="24" t="s">
        <v>16</v>
      </c>
      <c r="H27" s="24" t="s">
        <v>8</v>
      </c>
      <c r="I27" s="26">
        <f t="shared" si="0"/>
        <v>12000</v>
      </c>
      <c r="K27" s="21"/>
      <c r="L27" s="21"/>
      <c r="M27" s="21"/>
      <c r="N27" s="21"/>
      <c r="O27" s="21"/>
      <c r="P27" s="21"/>
      <c r="Q27" s="21"/>
      <c r="R27" s="21"/>
    </row>
    <row r="28" spans="2:18" x14ac:dyDescent="0.25">
      <c r="B28" s="24" t="s">
        <v>24</v>
      </c>
      <c r="C28" s="24" t="s">
        <v>27</v>
      </c>
      <c r="D28" s="25">
        <v>100</v>
      </c>
      <c r="E28" s="24">
        <v>351</v>
      </c>
      <c r="F28" s="24">
        <v>140</v>
      </c>
      <c r="G28" s="24" t="s">
        <v>16</v>
      </c>
      <c r="H28" s="24" t="s">
        <v>6</v>
      </c>
      <c r="I28" s="26">
        <f t="shared" si="0"/>
        <v>35100</v>
      </c>
      <c r="K28" s="21"/>
      <c r="L28" s="21"/>
      <c r="M28" s="21"/>
      <c r="N28" s="21"/>
      <c r="O28" s="21"/>
      <c r="P28" s="21"/>
      <c r="Q28" s="21"/>
      <c r="R28" s="21"/>
    </row>
    <row r="29" spans="2:18" x14ac:dyDescent="0.25">
      <c r="B29" s="24" t="s">
        <v>24</v>
      </c>
      <c r="C29" s="24" t="s">
        <v>27</v>
      </c>
      <c r="D29" s="25">
        <v>100</v>
      </c>
      <c r="E29" s="24">
        <v>351</v>
      </c>
      <c r="F29" s="24">
        <v>140</v>
      </c>
      <c r="G29" s="24" t="s">
        <v>16</v>
      </c>
      <c r="H29" s="24" t="s">
        <v>8</v>
      </c>
      <c r="I29" s="26">
        <f t="shared" si="0"/>
        <v>35100</v>
      </c>
      <c r="K29" s="21"/>
      <c r="L29" s="21"/>
      <c r="M29" s="21"/>
      <c r="N29" s="21"/>
      <c r="O29" s="21"/>
      <c r="P29" s="21"/>
      <c r="Q29" s="21"/>
      <c r="R29" s="21"/>
    </row>
    <row r="30" spans="2:18" x14ac:dyDescent="0.25">
      <c r="B30" s="24" t="s">
        <v>24</v>
      </c>
      <c r="C30" s="24" t="s">
        <v>27</v>
      </c>
      <c r="D30" s="25">
        <v>60</v>
      </c>
      <c r="E30" s="24">
        <v>438</v>
      </c>
      <c r="F30" s="24">
        <v>140</v>
      </c>
      <c r="G30" s="24" t="s">
        <v>15</v>
      </c>
      <c r="H30" s="24" t="s">
        <v>8</v>
      </c>
      <c r="I30" s="26">
        <f t="shared" si="0"/>
        <v>26280</v>
      </c>
      <c r="K30" s="21"/>
      <c r="L30" s="21"/>
      <c r="M30" s="21"/>
      <c r="N30" s="21"/>
      <c r="O30" s="21"/>
      <c r="P30" s="21"/>
      <c r="Q30" s="21"/>
      <c r="R30" s="21"/>
    </row>
    <row r="31" spans="2:18" x14ac:dyDescent="0.25">
      <c r="B31" s="24" t="s">
        <v>24</v>
      </c>
      <c r="C31" s="24" t="s">
        <v>27</v>
      </c>
      <c r="D31" s="25">
        <v>60</v>
      </c>
      <c r="E31" s="24">
        <v>201</v>
      </c>
      <c r="F31" s="24">
        <v>140</v>
      </c>
      <c r="G31" s="24" t="s">
        <v>15</v>
      </c>
      <c r="H31" s="24" t="s">
        <v>8</v>
      </c>
      <c r="I31" s="26">
        <f t="shared" si="0"/>
        <v>12060</v>
      </c>
      <c r="K31" s="21"/>
      <c r="L31" s="21"/>
      <c r="M31" s="21"/>
      <c r="N31" s="21"/>
      <c r="O31" s="21"/>
      <c r="P31" s="21"/>
      <c r="Q31" s="21"/>
      <c r="R31" s="21"/>
    </row>
    <row r="32" spans="2:18" x14ac:dyDescent="0.25">
      <c r="B32" s="24" t="s">
        <v>24</v>
      </c>
      <c r="C32" s="24" t="s">
        <v>27</v>
      </c>
      <c r="D32" s="25">
        <v>60</v>
      </c>
      <c r="E32" s="24">
        <v>201</v>
      </c>
      <c r="F32" s="24">
        <v>140</v>
      </c>
      <c r="G32" s="24" t="s">
        <v>14</v>
      </c>
      <c r="H32" s="24" t="s">
        <v>8</v>
      </c>
      <c r="I32" s="26">
        <f t="shared" si="0"/>
        <v>12060</v>
      </c>
      <c r="K32" s="21"/>
      <c r="L32" s="21"/>
      <c r="M32" s="21"/>
      <c r="N32" s="21"/>
      <c r="O32" s="21"/>
      <c r="P32" s="21"/>
      <c r="Q32" s="21"/>
      <c r="R32" s="21"/>
    </row>
    <row r="33" spans="2:18" x14ac:dyDescent="0.25">
      <c r="B33" s="24" t="s">
        <v>24</v>
      </c>
      <c r="C33" s="24" t="s">
        <v>27</v>
      </c>
      <c r="D33" s="25">
        <v>60</v>
      </c>
      <c r="E33" s="24">
        <v>425</v>
      </c>
      <c r="F33" s="24">
        <v>140</v>
      </c>
      <c r="G33" s="24" t="s">
        <v>14</v>
      </c>
      <c r="H33" s="24" t="s">
        <v>6</v>
      </c>
      <c r="I33" s="26">
        <f t="shared" si="0"/>
        <v>25500</v>
      </c>
      <c r="K33" s="21"/>
      <c r="L33" s="21"/>
      <c r="M33" s="21"/>
      <c r="N33" s="21"/>
      <c r="O33" s="21"/>
      <c r="P33" s="21"/>
      <c r="Q33" s="21"/>
      <c r="R33" s="21"/>
    </row>
    <row r="34" spans="2:18" x14ac:dyDescent="0.25">
      <c r="B34" s="24" t="s">
        <v>24</v>
      </c>
      <c r="C34" s="24" t="s">
        <v>27</v>
      </c>
      <c r="D34" s="25">
        <v>60</v>
      </c>
      <c r="E34" s="24">
        <v>424</v>
      </c>
      <c r="F34" s="24">
        <v>140</v>
      </c>
      <c r="G34" s="24" t="s">
        <v>13</v>
      </c>
      <c r="H34" s="24" t="s">
        <v>6</v>
      </c>
      <c r="I34" s="26">
        <f t="shared" si="0"/>
        <v>25440</v>
      </c>
      <c r="K34" s="21"/>
      <c r="L34" s="21"/>
      <c r="M34" s="21"/>
      <c r="N34" s="21"/>
      <c r="O34" s="21"/>
      <c r="P34" s="21"/>
      <c r="Q34" s="21"/>
      <c r="R34" s="21"/>
    </row>
    <row r="35" spans="2:18" x14ac:dyDescent="0.25">
      <c r="B35" s="24" t="s">
        <v>24</v>
      </c>
      <c r="C35" s="24" t="s">
        <v>27</v>
      </c>
      <c r="D35" s="25">
        <v>60</v>
      </c>
      <c r="E35" s="24">
        <v>154</v>
      </c>
      <c r="F35" s="24">
        <v>140</v>
      </c>
      <c r="G35" s="24" t="s">
        <v>13</v>
      </c>
      <c r="H35" s="24" t="s">
        <v>8</v>
      </c>
      <c r="I35" s="26">
        <f t="shared" si="0"/>
        <v>9240</v>
      </c>
      <c r="K35" s="21"/>
      <c r="L35" s="21"/>
      <c r="M35" s="21"/>
      <c r="N35" s="21"/>
      <c r="O35" s="21"/>
      <c r="P35" s="21"/>
      <c r="Q35" s="21"/>
      <c r="R35" s="21"/>
    </row>
    <row r="36" spans="2:18" x14ac:dyDescent="0.25">
      <c r="B36" s="24" t="s">
        <v>24</v>
      </c>
      <c r="C36" s="24" t="s">
        <v>27</v>
      </c>
      <c r="D36" s="25">
        <v>60</v>
      </c>
      <c r="E36" s="24">
        <v>451</v>
      </c>
      <c r="F36" s="24">
        <v>140</v>
      </c>
      <c r="G36" s="24" t="s">
        <v>12</v>
      </c>
      <c r="H36" s="24" t="s">
        <v>8</v>
      </c>
      <c r="I36" s="26">
        <f t="shared" si="0"/>
        <v>27060</v>
      </c>
      <c r="K36" s="21"/>
      <c r="L36" s="21"/>
      <c r="M36" s="21"/>
      <c r="N36" s="21"/>
      <c r="O36" s="21"/>
      <c r="P36" s="21"/>
      <c r="Q36" s="21"/>
      <c r="R36" s="21"/>
    </row>
    <row r="37" spans="2:18" x14ac:dyDescent="0.25">
      <c r="B37" s="24" t="s">
        <v>24</v>
      </c>
      <c r="C37" s="24" t="s">
        <v>27</v>
      </c>
      <c r="D37" s="25">
        <v>60</v>
      </c>
      <c r="E37" s="24">
        <v>454</v>
      </c>
      <c r="F37" s="24">
        <v>140</v>
      </c>
      <c r="G37" s="24" t="s">
        <v>12</v>
      </c>
      <c r="H37" s="24" t="s">
        <v>6</v>
      </c>
      <c r="I37" s="26">
        <f t="shared" si="0"/>
        <v>27240</v>
      </c>
      <c r="K37" s="21"/>
      <c r="L37" s="21"/>
      <c r="M37" s="21"/>
      <c r="N37" s="21"/>
      <c r="O37" s="21"/>
      <c r="P37" s="21"/>
      <c r="Q37" s="21"/>
      <c r="R37" s="21"/>
    </row>
    <row r="38" spans="2:18" x14ac:dyDescent="0.25">
      <c r="B38" s="24" t="s">
        <v>24</v>
      </c>
      <c r="C38" s="24" t="s">
        <v>27</v>
      </c>
      <c r="D38" s="25">
        <v>60</v>
      </c>
      <c r="E38" s="24">
        <v>345</v>
      </c>
      <c r="F38" s="24">
        <v>140</v>
      </c>
      <c r="G38" s="24" t="s">
        <v>7</v>
      </c>
      <c r="H38" s="24" t="s">
        <v>6</v>
      </c>
      <c r="I38" s="26">
        <f t="shared" si="0"/>
        <v>20700</v>
      </c>
      <c r="K38" s="21"/>
      <c r="L38" s="21"/>
      <c r="M38" s="21"/>
      <c r="N38" s="21"/>
      <c r="O38" s="21"/>
      <c r="P38" s="21"/>
      <c r="Q38" s="21"/>
      <c r="R38" s="21"/>
    </row>
    <row r="39" spans="2:18" x14ac:dyDescent="0.25">
      <c r="B39" s="24" t="s">
        <v>24</v>
      </c>
      <c r="C39" s="24" t="s">
        <v>27</v>
      </c>
      <c r="D39" s="25">
        <v>60</v>
      </c>
      <c r="E39" s="24">
        <v>541</v>
      </c>
      <c r="F39" s="24">
        <v>140</v>
      </c>
      <c r="G39" s="24" t="s">
        <v>7</v>
      </c>
      <c r="H39" s="24" t="s">
        <v>8</v>
      </c>
      <c r="I39" s="26">
        <f t="shared" si="0"/>
        <v>32460</v>
      </c>
      <c r="K39" s="21"/>
      <c r="L39" s="21"/>
      <c r="M39" s="21"/>
      <c r="N39" s="21"/>
      <c r="O39" s="21"/>
      <c r="P39" s="21"/>
      <c r="Q39" s="21"/>
      <c r="R39" s="21"/>
    </row>
    <row r="40" spans="2:18" x14ac:dyDescent="0.25">
      <c r="B40" s="24" t="s">
        <v>4</v>
      </c>
      <c r="C40" s="24" t="s">
        <v>27</v>
      </c>
      <c r="D40" s="25">
        <v>60</v>
      </c>
      <c r="E40" s="24">
        <v>862</v>
      </c>
      <c r="F40" s="24">
        <v>140</v>
      </c>
      <c r="G40" s="24" t="s">
        <v>22</v>
      </c>
      <c r="H40" s="24" t="s">
        <v>8</v>
      </c>
      <c r="I40" s="26">
        <f t="shared" si="0"/>
        <v>51720</v>
      </c>
      <c r="K40" s="21"/>
      <c r="L40" s="21"/>
      <c r="M40" s="21"/>
      <c r="N40" s="21"/>
      <c r="O40" s="21"/>
      <c r="P40" s="21"/>
      <c r="Q40" s="21"/>
      <c r="R40" s="21"/>
    </row>
    <row r="41" spans="2:18" x14ac:dyDescent="0.25">
      <c r="B41" s="24" t="s">
        <v>4</v>
      </c>
      <c r="C41" s="24" t="s">
        <v>27</v>
      </c>
      <c r="D41" s="25">
        <v>60</v>
      </c>
      <c r="E41" s="24">
        <v>645</v>
      </c>
      <c r="F41" s="24">
        <v>140</v>
      </c>
      <c r="G41" s="24" t="s">
        <v>22</v>
      </c>
      <c r="H41" s="24" t="s">
        <v>6</v>
      </c>
      <c r="I41" s="26">
        <f t="shared" si="0"/>
        <v>38700</v>
      </c>
      <c r="K41" s="21"/>
      <c r="L41" s="21"/>
      <c r="M41" s="21"/>
      <c r="N41" s="21"/>
      <c r="O41" s="21"/>
      <c r="P41" s="21"/>
      <c r="Q41" s="21"/>
      <c r="R41" s="21"/>
    </row>
    <row r="42" spans="2:18" x14ac:dyDescent="0.25">
      <c r="B42" s="24" t="s">
        <v>4</v>
      </c>
      <c r="C42" s="24" t="s">
        <v>27</v>
      </c>
      <c r="D42" s="25">
        <v>60</v>
      </c>
      <c r="E42" s="24">
        <v>112</v>
      </c>
      <c r="F42" s="24">
        <v>140</v>
      </c>
      <c r="G42" s="24" t="s">
        <v>21</v>
      </c>
      <c r="H42" s="24" t="s">
        <v>6</v>
      </c>
      <c r="I42" s="26">
        <f t="shared" si="0"/>
        <v>6720</v>
      </c>
      <c r="K42" s="21"/>
      <c r="L42" s="21"/>
      <c r="M42" s="21"/>
      <c r="N42" s="21"/>
      <c r="O42" s="21"/>
      <c r="P42" s="21"/>
      <c r="Q42" s="21"/>
      <c r="R42" s="21"/>
    </row>
    <row r="43" spans="2:18" x14ac:dyDescent="0.25">
      <c r="B43" s="24" t="s">
        <v>4</v>
      </c>
      <c r="C43" s="24" t="s">
        <v>27</v>
      </c>
      <c r="D43" s="25">
        <v>60</v>
      </c>
      <c r="E43" s="24">
        <v>345</v>
      </c>
      <c r="F43" s="24">
        <v>140</v>
      </c>
      <c r="G43" s="24" t="s">
        <v>21</v>
      </c>
      <c r="H43" s="24" t="s">
        <v>8</v>
      </c>
      <c r="I43" s="26">
        <f t="shared" si="0"/>
        <v>20700</v>
      </c>
      <c r="K43" s="21"/>
      <c r="L43" s="21"/>
      <c r="M43" s="21"/>
      <c r="N43" s="21"/>
      <c r="O43" s="21"/>
      <c r="P43" s="21"/>
      <c r="Q43" s="21"/>
      <c r="R43" s="21"/>
    </row>
    <row r="44" spans="2:18" x14ac:dyDescent="0.25">
      <c r="B44" s="24" t="s">
        <v>4</v>
      </c>
      <c r="C44" s="24" t="s">
        <v>27</v>
      </c>
      <c r="D44" s="25">
        <v>60</v>
      </c>
      <c r="E44" s="24">
        <v>651</v>
      </c>
      <c r="F44" s="24">
        <v>140</v>
      </c>
      <c r="G44" s="24" t="s">
        <v>21</v>
      </c>
      <c r="H44" s="24" t="s">
        <v>6</v>
      </c>
      <c r="I44" s="26">
        <f t="shared" si="0"/>
        <v>39060</v>
      </c>
      <c r="K44" s="21"/>
      <c r="L44" s="21"/>
      <c r="M44" s="21"/>
      <c r="N44" s="21"/>
      <c r="O44" s="21"/>
      <c r="P44" s="21"/>
      <c r="Q44" s="21"/>
      <c r="R44" s="21"/>
    </row>
    <row r="45" spans="2:18" x14ac:dyDescent="0.25">
      <c r="B45" s="24" t="s">
        <v>4</v>
      </c>
      <c r="C45" s="24" t="s">
        <v>27</v>
      </c>
      <c r="D45" s="25">
        <v>60</v>
      </c>
      <c r="E45" s="24">
        <v>721</v>
      </c>
      <c r="F45" s="24">
        <v>140</v>
      </c>
      <c r="G45" s="24" t="s">
        <v>20</v>
      </c>
      <c r="H45" s="24" t="s">
        <v>6</v>
      </c>
      <c r="I45" s="26">
        <f t="shared" si="0"/>
        <v>43260</v>
      </c>
      <c r="K45" s="21"/>
      <c r="L45" s="21"/>
      <c r="M45" s="21"/>
      <c r="N45" s="21"/>
      <c r="O45" s="21"/>
      <c r="P45" s="21"/>
      <c r="Q45" s="21"/>
      <c r="R45" s="21"/>
    </row>
    <row r="46" spans="2:18" x14ac:dyDescent="0.25">
      <c r="B46" s="24" t="s">
        <v>4</v>
      </c>
      <c r="C46" s="24" t="s">
        <v>27</v>
      </c>
      <c r="D46" s="25">
        <v>60</v>
      </c>
      <c r="E46" s="24">
        <v>351</v>
      </c>
      <c r="F46" s="24">
        <v>140</v>
      </c>
      <c r="G46" s="24" t="s">
        <v>20</v>
      </c>
      <c r="H46" s="24" t="s">
        <v>8</v>
      </c>
      <c r="I46" s="26">
        <f t="shared" si="0"/>
        <v>21060</v>
      </c>
      <c r="K46" s="21"/>
      <c r="L46" s="21"/>
      <c r="M46" s="21"/>
      <c r="N46" s="21"/>
      <c r="O46" s="21"/>
      <c r="P46" s="21"/>
      <c r="Q46" s="21"/>
      <c r="R46" s="21"/>
    </row>
    <row r="47" spans="2:18" x14ac:dyDescent="0.25">
      <c r="B47" s="24" t="s">
        <v>4</v>
      </c>
      <c r="C47" s="24" t="s">
        <v>27</v>
      </c>
      <c r="D47" s="25">
        <v>60</v>
      </c>
      <c r="E47" s="24">
        <v>201</v>
      </c>
      <c r="F47" s="24">
        <v>140</v>
      </c>
      <c r="G47" s="24" t="s">
        <v>19</v>
      </c>
      <c r="H47" s="24" t="s">
        <v>6</v>
      </c>
      <c r="I47" s="26">
        <f t="shared" ref="I47:I78" si="1">D47*E47</f>
        <v>12060</v>
      </c>
      <c r="K47" s="21"/>
      <c r="L47" s="21"/>
      <c r="M47" s="21"/>
      <c r="N47" s="21"/>
      <c r="O47" s="21"/>
      <c r="P47" s="21"/>
      <c r="Q47" s="21"/>
      <c r="R47" s="21"/>
    </row>
    <row r="48" spans="2:18" x14ac:dyDescent="0.25">
      <c r="B48" s="24" t="s">
        <v>4</v>
      </c>
      <c r="C48" s="24" t="s">
        <v>27</v>
      </c>
      <c r="D48" s="25">
        <v>60</v>
      </c>
      <c r="E48" s="24">
        <v>601</v>
      </c>
      <c r="F48" s="24">
        <v>140</v>
      </c>
      <c r="G48" s="24" t="s">
        <v>19</v>
      </c>
      <c r="H48" s="24" t="s">
        <v>8</v>
      </c>
      <c r="I48" s="26">
        <f t="shared" si="1"/>
        <v>36060</v>
      </c>
      <c r="K48" s="21"/>
      <c r="L48" s="21"/>
      <c r="M48" s="21"/>
      <c r="N48" s="21"/>
      <c r="O48" s="21"/>
      <c r="P48" s="21"/>
      <c r="Q48" s="21"/>
      <c r="R48" s="21"/>
    </row>
    <row r="49" spans="2:18" x14ac:dyDescent="0.25">
      <c r="B49" s="24" t="s">
        <v>4</v>
      </c>
      <c r="C49" s="24" t="s">
        <v>27</v>
      </c>
      <c r="D49" s="25">
        <v>60</v>
      </c>
      <c r="E49" s="24">
        <v>401</v>
      </c>
      <c r="F49" s="24">
        <v>140</v>
      </c>
      <c r="G49" s="24" t="s">
        <v>19</v>
      </c>
      <c r="H49" s="24" t="s">
        <v>8</v>
      </c>
      <c r="I49" s="26">
        <f t="shared" si="1"/>
        <v>24060</v>
      </c>
      <c r="K49" s="21"/>
      <c r="L49" s="21"/>
      <c r="M49" s="21"/>
      <c r="N49" s="21"/>
      <c r="O49" s="21"/>
      <c r="P49" s="21"/>
      <c r="Q49" s="21"/>
      <c r="R49" s="21"/>
    </row>
    <row r="50" spans="2:18" x14ac:dyDescent="0.25">
      <c r="B50" s="24" t="s">
        <v>4</v>
      </c>
      <c r="C50" s="24" t="s">
        <v>27</v>
      </c>
      <c r="D50" s="25">
        <v>60</v>
      </c>
      <c r="E50" s="24">
        <v>301</v>
      </c>
      <c r="F50" s="24">
        <v>140</v>
      </c>
      <c r="G50" s="24" t="s">
        <v>18</v>
      </c>
      <c r="H50" s="24" t="s">
        <v>8</v>
      </c>
      <c r="I50" s="26">
        <f t="shared" si="1"/>
        <v>18060</v>
      </c>
      <c r="K50" s="21"/>
      <c r="L50" s="21"/>
      <c r="M50" s="21"/>
      <c r="N50" s="21"/>
      <c r="O50" s="21"/>
      <c r="P50" s="21"/>
      <c r="Q50" s="21"/>
      <c r="R50" s="21"/>
    </row>
    <row r="51" spans="2:18" x14ac:dyDescent="0.25">
      <c r="B51" s="24" t="s">
        <v>4</v>
      </c>
      <c r="C51" s="24" t="s">
        <v>27</v>
      </c>
      <c r="D51" s="25">
        <v>60</v>
      </c>
      <c r="E51" s="24">
        <v>200</v>
      </c>
      <c r="F51" s="24">
        <v>140</v>
      </c>
      <c r="G51" s="24" t="s">
        <v>18</v>
      </c>
      <c r="H51" s="24" t="s">
        <v>6</v>
      </c>
      <c r="I51" s="26">
        <f t="shared" si="1"/>
        <v>12000</v>
      </c>
      <c r="K51" s="21"/>
      <c r="L51" s="21"/>
      <c r="M51" s="21"/>
      <c r="N51" s="21"/>
      <c r="O51" s="21"/>
      <c r="P51" s="21"/>
      <c r="Q51" s="21"/>
      <c r="R51" s="21"/>
    </row>
    <row r="52" spans="2:18" x14ac:dyDescent="0.25">
      <c r="B52" s="24" t="s">
        <v>4</v>
      </c>
      <c r="C52" s="24" t="s">
        <v>27</v>
      </c>
      <c r="D52" s="25">
        <v>60</v>
      </c>
      <c r="E52" s="24">
        <v>166</v>
      </c>
      <c r="F52" s="24">
        <v>140</v>
      </c>
      <c r="G52" s="24" t="s">
        <v>17</v>
      </c>
      <c r="H52" s="24" t="s">
        <v>6</v>
      </c>
      <c r="I52" s="26">
        <f t="shared" si="1"/>
        <v>9960</v>
      </c>
      <c r="K52" s="21"/>
      <c r="L52" s="21"/>
      <c r="M52" s="21"/>
      <c r="N52" s="21"/>
      <c r="O52" s="21"/>
      <c r="P52" s="21"/>
      <c r="Q52" s="21"/>
      <c r="R52" s="21"/>
    </row>
    <row r="53" spans="2:18" x14ac:dyDescent="0.25">
      <c r="B53" s="24" t="s">
        <v>4</v>
      </c>
      <c r="C53" s="24" t="s">
        <v>27</v>
      </c>
      <c r="D53" s="25">
        <v>60</v>
      </c>
      <c r="E53" s="24">
        <v>199</v>
      </c>
      <c r="F53" s="24">
        <v>140</v>
      </c>
      <c r="G53" s="24" t="s">
        <v>17</v>
      </c>
      <c r="H53" s="24" t="s">
        <v>8</v>
      </c>
      <c r="I53" s="26">
        <f t="shared" si="1"/>
        <v>11940</v>
      </c>
      <c r="K53" s="21"/>
      <c r="L53" s="21"/>
      <c r="M53" s="21"/>
      <c r="N53" s="21"/>
      <c r="O53" s="21"/>
      <c r="P53" s="21"/>
      <c r="Q53" s="21"/>
      <c r="R53" s="21"/>
    </row>
    <row r="54" spans="2:18" x14ac:dyDescent="0.25">
      <c r="B54" s="24" t="s">
        <v>4</v>
      </c>
      <c r="C54" s="24" t="s">
        <v>27</v>
      </c>
      <c r="D54" s="25">
        <v>60</v>
      </c>
      <c r="E54" s="24">
        <v>129</v>
      </c>
      <c r="F54" s="24">
        <v>140</v>
      </c>
      <c r="G54" s="24" t="s">
        <v>17</v>
      </c>
      <c r="H54" s="24" t="s">
        <v>8</v>
      </c>
      <c r="I54" s="26">
        <f t="shared" si="1"/>
        <v>7740</v>
      </c>
      <c r="K54" s="21"/>
      <c r="L54" s="21"/>
      <c r="M54" s="21"/>
      <c r="N54" s="21"/>
      <c r="O54" s="21"/>
      <c r="P54" s="21"/>
      <c r="Q54" s="21"/>
      <c r="R54" s="21"/>
    </row>
    <row r="55" spans="2:18" x14ac:dyDescent="0.25">
      <c r="B55" s="24" t="s">
        <v>4</v>
      </c>
      <c r="C55" s="24" t="s">
        <v>27</v>
      </c>
      <c r="D55" s="25">
        <v>60</v>
      </c>
      <c r="E55" s="24">
        <v>125</v>
      </c>
      <c r="F55" s="24">
        <v>140</v>
      </c>
      <c r="G55" s="24" t="s">
        <v>16</v>
      </c>
      <c r="H55" s="24" t="s">
        <v>8</v>
      </c>
      <c r="I55" s="26">
        <f t="shared" si="1"/>
        <v>7500</v>
      </c>
      <c r="K55" s="21"/>
      <c r="L55" s="21"/>
      <c r="M55" s="21"/>
      <c r="N55" s="21"/>
      <c r="O55" s="21"/>
      <c r="P55" s="21"/>
      <c r="Q55" s="21"/>
      <c r="R55" s="21"/>
    </row>
    <row r="56" spans="2:18" x14ac:dyDescent="0.25">
      <c r="B56" s="24" t="s">
        <v>4</v>
      </c>
      <c r="C56" s="24" t="s">
        <v>27</v>
      </c>
      <c r="D56" s="25">
        <v>60</v>
      </c>
      <c r="E56" s="24">
        <v>301</v>
      </c>
      <c r="F56" s="24">
        <v>140</v>
      </c>
      <c r="G56" s="24" t="s">
        <v>16</v>
      </c>
      <c r="H56" s="24" t="s">
        <v>6</v>
      </c>
      <c r="I56" s="26">
        <f t="shared" si="1"/>
        <v>18060</v>
      </c>
      <c r="K56" s="21"/>
      <c r="L56" s="21"/>
      <c r="M56" s="21"/>
      <c r="N56" s="21"/>
      <c r="O56" s="21"/>
      <c r="P56" s="21"/>
      <c r="Q56" s="21"/>
      <c r="R56" s="21"/>
    </row>
    <row r="57" spans="2:18" x14ac:dyDescent="0.25">
      <c r="B57" s="24" t="s">
        <v>4</v>
      </c>
      <c r="C57" s="24" t="s">
        <v>27</v>
      </c>
      <c r="D57" s="25">
        <v>60</v>
      </c>
      <c r="E57" s="24">
        <v>345</v>
      </c>
      <c r="F57" s="24">
        <v>140</v>
      </c>
      <c r="G57" s="24" t="s">
        <v>15</v>
      </c>
      <c r="H57" s="24" t="s">
        <v>6</v>
      </c>
      <c r="I57" s="26">
        <f t="shared" si="1"/>
        <v>20700</v>
      </c>
      <c r="K57" s="21"/>
      <c r="L57" s="21"/>
      <c r="M57" s="21"/>
      <c r="N57" s="21"/>
      <c r="O57" s="21"/>
      <c r="P57" s="21"/>
      <c r="Q57" s="21"/>
      <c r="R57" s="21"/>
    </row>
    <row r="58" spans="2:18" x14ac:dyDescent="0.25">
      <c r="B58" s="24" t="s">
        <v>4</v>
      </c>
      <c r="C58" s="24" t="s">
        <v>27</v>
      </c>
      <c r="D58" s="25">
        <v>60</v>
      </c>
      <c r="E58" s="24">
        <v>461</v>
      </c>
      <c r="F58" s="24">
        <v>140</v>
      </c>
      <c r="G58" s="24" t="s">
        <v>15</v>
      </c>
      <c r="H58" s="24" t="s">
        <v>8</v>
      </c>
      <c r="I58" s="26">
        <f t="shared" si="1"/>
        <v>27660</v>
      </c>
      <c r="K58" s="21"/>
      <c r="L58" s="21"/>
      <c r="M58" s="21"/>
      <c r="N58" s="21"/>
      <c r="O58" s="21"/>
      <c r="P58" s="21"/>
      <c r="Q58" s="21"/>
      <c r="R58" s="21"/>
    </row>
    <row r="59" spans="2:18" x14ac:dyDescent="0.25">
      <c r="B59" s="24" t="s">
        <v>4</v>
      </c>
      <c r="C59" s="24" t="s">
        <v>27</v>
      </c>
      <c r="D59" s="25">
        <v>60</v>
      </c>
      <c r="E59" s="24">
        <v>125</v>
      </c>
      <c r="F59" s="24">
        <v>140</v>
      </c>
      <c r="G59" s="24" t="s">
        <v>14</v>
      </c>
      <c r="H59" s="24" t="s">
        <v>8</v>
      </c>
      <c r="I59" s="26">
        <f t="shared" si="1"/>
        <v>7500</v>
      </c>
      <c r="K59" s="21"/>
      <c r="L59" s="21"/>
      <c r="M59" s="21"/>
      <c r="N59" s="21"/>
      <c r="O59" s="21"/>
      <c r="P59" s="21"/>
      <c r="Q59" s="21"/>
      <c r="R59" s="21"/>
    </row>
    <row r="60" spans="2:18" x14ac:dyDescent="0.25">
      <c r="B60" s="24" t="s">
        <v>4</v>
      </c>
      <c r="C60" s="24" t="s">
        <v>27</v>
      </c>
      <c r="D60" s="25">
        <v>60</v>
      </c>
      <c r="E60" s="24">
        <v>325</v>
      </c>
      <c r="F60" s="24">
        <v>140</v>
      </c>
      <c r="G60" s="24" t="s">
        <v>14</v>
      </c>
      <c r="H60" s="24" t="s">
        <v>6</v>
      </c>
      <c r="I60" s="26">
        <f t="shared" si="1"/>
        <v>19500</v>
      </c>
      <c r="K60" s="21"/>
      <c r="L60" s="21"/>
      <c r="M60" s="21"/>
      <c r="N60" s="21"/>
      <c r="O60" s="21"/>
      <c r="P60" s="21"/>
      <c r="Q60" s="21"/>
      <c r="R60" s="21"/>
    </row>
    <row r="61" spans="2:18" x14ac:dyDescent="0.25">
      <c r="B61" s="24" t="s">
        <v>4</v>
      </c>
      <c r="C61" s="24" t="s">
        <v>27</v>
      </c>
      <c r="D61" s="25">
        <v>60</v>
      </c>
      <c r="E61" s="24">
        <v>425</v>
      </c>
      <c r="F61" s="24">
        <v>140</v>
      </c>
      <c r="G61" s="24" t="s">
        <v>14</v>
      </c>
      <c r="H61" s="24" t="s">
        <v>8</v>
      </c>
      <c r="I61" s="26">
        <f t="shared" si="1"/>
        <v>25500</v>
      </c>
      <c r="K61" s="21"/>
      <c r="L61" s="21"/>
      <c r="M61" s="21"/>
      <c r="N61" s="21"/>
      <c r="O61" s="21"/>
      <c r="P61" s="21"/>
      <c r="Q61" s="21"/>
      <c r="R61" s="21"/>
    </row>
    <row r="62" spans="2:18" x14ac:dyDescent="0.25">
      <c r="B62" s="24" t="s">
        <v>4</v>
      </c>
      <c r="C62" s="24" t="s">
        <v>27</v>
      </c>
      <c r="D62" s="25">
        <v>60</v>
      </c>
      <c r="E62" s="24">
        <v>351</v>
      </c>
      <c r="F62" s="24">
        <v>140</v>
      </c>
      <c r="G62" s="24" t="s">
        <v>13</v>
      </c>
      <c r="H62" s="24" t="s">
        <v>8</v>
      </c>
      <c r="I62" s="26">
        <f t="shared" si="1"/>
        <v>21060</v>
      </c>
      <c r="K62" s="21"/>
      <c r="L62" s="21"/>
      <c r="M62" s="21"/>
      <c r="N62" s="21"/>
      <c r="O62" s="21"/>
      <c r="P62" s="21"/>
      <c r="Q62" s="21"/>
      <c r="R62" s="21"/>
    </row>
    <row r="63" spans="2:18" x14ac:dyDescent="0.25">
      <c r="B63" s="24" t="s">
        <v>4</v>
      </c>
      <c r="C63" s="24" t="s">
        <v>27</v>
      </c>
      <c r="D63" s="25">
        <v>60</v>
      </c>
      <c r="E63" s="24">
        <v>402</v>
      </c>
      <c r="F63" s="24">
        <v>140</v>
      </c>
      <c r="G63" s="24" t="s">
        <v>13</v>
      </c>
      <c r="H63" s="24" t="s">
        <v>6</v>
      </c>
      <c r="I63" s="26">
        <f t="shared" si="1"/>
        <v>24120</v>
      </c>
      <c r="K63" s="21"/>
      <c r="L63" s="21"/>
      <c r="M63" s="21"/>
      <c r="N63" s="21"/>
      <c r="O63" s="21"/>
      <c r="P63" s="21"/>
      <c r="Q63" s="21"/>
      <c r="R63" s="21"/>
    </row>
    <row r="64" spans="2:18" x14ac:dyDescent="0.25">
      <c r="B64" s="24" t="s">
        <v>4</v>
      </c>
      <c r="C64" s="24" t="s">
        <v>27</v>
      </c>
      <c r="D64" s="25">
        <v>60</v>
      </c>
      <c r="E64" s="24">
        <v>412</v>
      </c>
      <c r="F64" s="24">
        <v>140</v>
      </c>
      <c r="G64" s="24" t="s">
        <v>12</v>
      </c>
      <c r="H64" s="24" t="s">
        <v>6</v>
      </c>
      <c r="I64" s="26">
        <f t="shared" si="1"/>
        <v>24720</v>
      </c>
      <c r="K64" s="21"/>
      <c r="L64" s="21"/>
      <c r="M64" s="21"/>
      <c r="N64" s="21"/>
      <c r="O64" s="21"/>
      <c r="P64" s="21"/>
      <c r="Q64" s="21"/>
      <c r="R64" s="21"/>
    </row>
    <row r="65" spans="2:18" x14ac:dyDescent="0.25">
      <c r="B65" s="24" t="s">
        <v>4</v>
      </c>
      <c r="C65" s="24" t="s">
        <v>27</v>
      </c>
      <c r="D65" s="25">
        <v>60</v>
      </c>
      <c r="E65" s="24">
        <v>504</v>
      </c>
      <c r="F65" s="24">
        <v>140</v>
      </c>
      <c r="G65" s="24" t="s">
        <v>12</v>
      </c>
      <c r="H65" s="24" t="s">
        <v>8</v>
      </c>
      <c r="I65" s="26">
        <f t="shared" si="1"/>
        <v>30240</v>
      </c>
      <c r="K65" s="21"/>
      <c r="L65" s="21"/>
      <c r="M65" s="21"/>
      <c r="N65" s="21"/>
      <c r="O65" s="21"/>
      <c r="P65" s="21"/>
      <c r="Q65" s="21"/>
      <c r="R65" s="21"/>
    </row>
    <row r="66" spans="2:18" x14ac:dyDescent="0.25">
      <c r="B66" s="24" t="s">
        <v>4</v>
      </c>
      <c r="C66" s="24" t="s">
        <v>27</v>
      </c>
      <c r="D66" s="25">
        <v>60</v>
      </c>
      <c r="E66" s="24">
        <v>542</v>
      </c>
      <c r="F66" s="24">
        <v>140</v>
      </c>
      <c r="G66" s="24" t="s">
        <v>7</v>
      </c>
      <c r="H66" s="24" t="s">
        <v>8</v>
      </c>
      <c r="I66" s="26">
        <f t="shared" si="1"/>
        <v>32520</v>
      </c>
      <c r="K66" s="21"/>
      <c r="L66" s="21"/>
      <c r="M66" s="21"/>
      <c r="N66" s="21"/>
      <c r="O66" s="21"/>
      <c r="P66" s="21"/>
      <c r="Q66" s="21"/>
      <c r="R66" s="21"/>
    </row>
    <row r="67" spans="2:18" x14ac:dyDescent="0.25">
      <c r="B67" s="24" t="s">
        <v>4</v>
      </c>
      <c r="C67" s="24" t="s">
        <v>27</v>
      </c>
      <c r="D67" s="25">
        <v>60</v>
      </c>
      <c r="E67" s="24">
        <v>610</v>
      </c>
      <c r="F67" s="24">
        <v>140</v>
      </c>
      <c r="G67" s="24" t="s">
        <v>7</v>
      </c>
      <c r="H67" s="24" t="s">
        <v>6</v>
      </c>
      <c r="I67" s="26">
        <f t="shared" si="1"/>
        <v>36600</v>
      </c>
      <c r="K67" s="21"/>
      <c r="L67" s="21"/>
      <c r="M67" s="21"/>
      <c r="N67" s="21"/>
      <c r="O67" s="21"/>
      <c r="P67" s="21"/>
      <c r="Q67" s="21"/>
      <c r="R67" s="21"/>
    </row>
    <row r="68" spans="2:18" x14ac:dyDescent="0.25">
      <c r="B68" s="24" t="s">
        <v>11</v>
      </c>
      <c r="C68" s="24" t="s">
        <v>27</v>
      </c>
      <c r="D68" s="25">
        <v>35</v>
      </c>
      <c r="E68" s="24">
        <v>610</v>
      </c>
      <c r="F68" s="24">
        <v>140</v>
      </c>
      <c r="G68" s="24" t="s">
        <v>22</v>
      </c>
      <c r="H68" s="24" t="s">
        <v>6</v>
      </c>
      <c r="I68" s="26">
        <f t="shared" si="1"/>
        <v>21350</v>
      </c>
      <c r="K68" s="21"/>
      <c r="L68" s="21"/>
      <c r="M68" s="21"/>
      <c r="N68" s="21"/>
      <c r="O68" s="21"/>
      <c r="P68" s="21"/>
      <c r="Q68" s="21"/>
      <c r="R68" s="21"/>
    </row>
    <row r="69" spans="2:18" x14ac:dyDescent="0.25">
      <c r="B69" s="24" t="s">
        <v>11</v>
      </c>
      <c r="C69" s="24" t="s">
        <v>27</v>
      </c>
      <c r="D69" s="25">
        <v>35</v>
      </c>
      <c r="E69" s="24">
        <v>425</v>
      </c>
      <c r="F69" s="24">
        <v>140</v>
      </c>
      <c r="G69" s="24" t="s">
        <v>22</v>
      </c>
      <c r="H69" s="24" t="s">
        <v>8</v>
      </c>
      <c r="I69" s="26">
        <f t="shared" si="1"/>
        <v>14875</v>
      </c>
      <c r="K69" s="21"/>
      <c r="L69" s="21"/>
      <c r="M69" s="21"/>
      <c r="N69" s="21"/>
      <c r="O69" s="21"/>
      <c r="P69" s="21"/>
      <c r="Q69" s="21"/>
      <c r="R69" s="21"/>
    </row>
    <row r="70" spans="2:18" x14ac:dyDescent="0.25">
      <c r="B70" s="24" t="s">
        <v>11</v>
      </c>
      <c r="C70" s="24" t="s">
        <v>27</v>
      </c>
      <c r="D70" s="25">
        <v>35</v>
      </c>
      <c r="E70" s="24">
        <v>345</v>
      </c>
      <c r="F70" s="24">
        <v>140</v>
      </c>
      <c r="G70" s="24" t="s">
        <v>21</v>
      </c>
      <c r="H70" s="24" t="s">
        <v>8</v>
      </c>
      <c r="I70" s="26">
        <f t="shared" si="1"/>
        <v>12075</v>
      </c>
      <c r="K70" s="21"/>
      <c r="L70" s="21"/>
      <c r="M70" s="21"/>
      <c r="N70" s="21"/>
      <c r="O70" s="21"/>
      <c r="P70" s="21"/>
      <c r="Q70" s="21"/>
      <c r="R70" s="21"/>
    </row>
    <row r="71" spans="2:18" x14ac:dyDescent="0.25">
      <c r="B71" s="24" t="s">
        <v>11</v>
      </c>
      <c r="C71" s="24" t="s">
        <v>27</v>
      </c>
      <c r="D71" s="25">
        <v>35</v>
      </c>
      <c r="E71" s="24">
        <v>425</v>
      </c>
      <c r="F71" s="24">
        <v>140</v>
      </c>
      <c r="G71" s="24" t="s">
        <v>21</v>
      </c>
      <c r="H71" s="24" t="s">
        <v>6</v>
      </c>
      <c r="I71" s="26">
        <f t="shared" si="1"/>
        <v>14875</v>
      </c>
      <c r="K71" s="21"/>
      <c r="L71" s="21"/>
      <c r="M71" s="21"/>
      <c r="N71" s="21"/>
      <c r="O71" s="21"/>
      <c r="P71" s="21"/>
      <c r="Q71" s="21"/>
      <c r="R71" s="21"/>
    </row>
    <row r="72" spans="2:18" x14ac:dyDescent="0.25">
      <c r="B72" s="24" t="s">
        <v>11</v>
      </c>
      <c r="C72" s="24" t="s">
        <v>27</v>
      </c>
      <c r="D72" s="25">
        <v>35</v>
      </c>
      <c r="E72" s="24">
        <v>621</v>
      </c>
      <c r="F72" s="24">
        <v>140</v>
      </c>
      <c r="G72" s="24" t="s">
        <v>20</v>
      </c>
      <c r="H72" s="24" t="s">
        <v>6</v>
      </c>
      <c r="I72" s="26">
        <f t="shared" si="1"/>
        <v>21735</v>
      </c>
      <c r="K72" s="21"/>
      <c r="L72" s="21"/>
      <c r="M72" s="21"/>
      <c r="N72" s="21"/>
      <c r="O72" s="21"/>
      <c r="P72" s="21"/>
      <c r="Q72" s="21"/>
      <c r="R72" s="21"/>
    </row>
    <row r="73" spans="2:18" x14ac:dyDescent="0.25">
      <c r="B73" s="24" t="s">
        <v>11</v>
      </c>
      <c r="C73" s="24" t="s">
        <v>27</v>
      </c>
      <c r="D73" s="25">
        <v>35</v>
      </c>
      <c r="E73" s="24">
        <v>425</v>
      </c>
      <c r="F73" s="24">
        <v>140</v>
      </c>
      <c r="G73" s="24" t="s">
        <v>20</v>
      </c>
      <c r="H73" s="24" t="s">
        <v>8</v>
      </c>
      <c r="I73" s="26">
        <f t="shared" si="1"/>
        <v>14875</v>
      </c>
      <c r="K73" s="21"/>
      <c r="L73" s="21"/>
      <c r="M73" s="21"/>
      <c r="N73" s="21"/>
      <c r="O73" s="21"/>
      <c r="P73" s="21"/>
      <c r="Q73" s="21"/>
      <c r="R73" s="21"/>
    </row>
    <row r="74" spans="2:18" x14ac:dyDescent="0.25">
      <c r="B74" s="24" t="s">
        <v>11</v>
      </c>
      <c r="C74" s="24" t="s">
        <v>27</v>
      </c>
      <c r="D74" s="25">
        <v>35</v>
      </c>
      <c r="E74" s="24">
        <v>425</v>
      </c>
      <c r="F74" s="24">
        <v>140</v>
      </c>
      <c r="G74" s="24" t="s">
        <v>19</v>
      </c>
      <c r="H74" s="24" t="s">
        <v>8</v>
      </c>
      <c r="I74" s="26">
        <f t="shared" si="1"/>
        <v>14875</v>
      </c>
      <c r="K74" s="21"/>
      <c r="L74" s="21"/>
      <c r="M74" s="21"/>
      <c r="N74" s="21"/>
      <c r="O74" s="21"/>
      <c r="P74" s="21"/>
      <c r="Q74" s="21"/>
      <c r="R74" s="21"/>
    </row>
    <row r="75" spans="2:18" x14ac:dyDescent="0.25">
      <c r="B75" s="24" t="s">
        <v>11</v>
      </c>
      <c r="C75" s="24" t="s">
        <v>27</v>
      </c>
      <c r="D75" s="25">
        <v>35</v>
      </c>
      <c r="E75" s="24">
        <v>120</v>
      </c>
      <c r="F75" s="24">
        <v>140</v>
      </c>
      <c r="G75" s="24" t="s">
        <v>19</v>
      </c>
      <c r="H75" s="24" t="s">
        <v>8</v>
      </c>
      <c r="I75" s="26">
        <f t="shared" si="1"/>
        <v>4200</v>
      </c>
      <c r="K75" s="21"/>
      <c r="L75" s="21"/>
      <c r="M75" s="21"/>
      <c r="N75" s="21"/>
      <c r="O75" s="21"/>
      <c r="P75" s="21"/>
      <c r="Q75" s="21"/>
      <c r="R75" s="21"/>
    </row>
    <row r="76" spans="2:18" x14ac:dyDescent="0.25">
      <c r="B76" s="24" t="s">
        <v>11</v>
      </c>
      <c r="C76" s="24" t="s">
        <v>27</v>
      </c>
      <c r="D76" s="25">
        <v>35</v>
      </c>
      <c r="E76" s="24">
        <v>425</v>
      </c>
      <c r="F76" s="24">
        <v>140</v>
      </c>
      <c r="G76" s="24" t="s">
        <v>19</v>
      </c>
      <c r="H76" s="24" t="s">
        <v>6</v>
      </c>
      <c r="I76" s="26">
        <f t="shared" si="1"/>
        <v>14875</v>
      </c>
      <c r="K76" s="21"/>
      <c r="L76" s="21"/>
      <c r="M76" s="21"/>
      <c r="N76" s="21"/>
      <c r="O76" s="21"/>
      <c r="P76" s="21"/>
      <c r="Q76" s="21"/>
      <c r="R76" s="21"/>
    </row>
    <row r="77" spans="2:18" x14ac:dyDescent="0.25">
      <c r="B77" s="24" t="s">
        <v>11</v>
      </c>
      <c r="C77" s="24" t="s">
        <v>27</v>
      </c>
      <c r="D77" s="25">
        <v>35</v>
      </c>
      <c r="E77" s="24">
        <v>102</v>
      </c>
      <c r="F77" s="24">
        <v>140</v>
      </c>
      <c r="G77" s="24" t="s">
        <v>19</v>
      </c>
      <c r="H77" s="24" t="s">
        <v>8</v>
      </c>
      <c r="I77" s="26">
        <f t="shared" si="1"/>
        <v>3570</v>
      </c>
      <c r="K77" s="21"/>
      <c r="L77" s="21"/>
      <c r="M77" s="21"/>
      <c r="N77" s="21"/>
      <c r="O77" s="21"/>
      <c r="P77" s="21"/>
      <c r="Q77" s="21"/>
      <c r="R77" s="21"/>
    </row>
    <row r="78" spans="2:18" x14ac:dyDescent="0.25">
      <c r="B78" s="24" t="s">
        <v>11</v>
      </c>
      <c r="C78" s="24" t="s">
        <v>27</v>
      </c>
      <c r="D78" s="25">
        <v>35</v>
      </c>
      <c r="E78" s="24">
        <v>345</v>
      </c>
      <c r="F78" s="24">
        <v>140</v>
      </c>
      <c r="G78" s="24" t="s">
        <v>19</v>
      </c>
      <c r="H78" s="24" t="s">
        <v>6</v>
      </c>
      <c r="I78" s="26">
        <f t="shared" si="1"/>
        <v>12075</v>
      </c>
      <c r="K78" s="21"/>
      <c r="L78" s="21"/>
      <c r="M78" s="21"/>
      <c r="N78" s="21"/>
      <c r="O78" s="21"/>
      <c r="P78" s="21"/>
      <c r="Q78" s="21"/>
      <c r="R78" s="21"/>
    </row>
    <row r="79" spans="2:18" x14ac:dyDescent="0.25">
      <c r="B79" s="24" t="s">
        <v>11</v>
      </c>
      <c r="C79" s="24" t="s">
        <v>27</v>
      </c>
      <c r="D79" s="25">
        <v>35</v>
      </c>
      <c r="E79" s="24">
        <v>432</v>
      </c>
      <c r="F79" s="24">
        <v>140</v>
      </c>
      <c r="G79" s="24" t="s">
        <v>18</v>
      </c>
      <c r="H79" s="24" t="s">
        <v>6</v>
      </c>
      <c r="I79" s="26">
        <f t="shared" ref="I79:I110" si="2">D79*E79</f>
        <v>15120</v>
      </c>
      <c r="K79" s="21"/>
      <c r="L79" s="21"/>
      <c r="M79" s="21"/>
      <c r="N79" s="21"/>
      <c r="O79" s="21"/>
      <c r="P79" s="21"/>
      <c r="Q79" s="21"/>
      <c r="R79" s="21"/>
    </row>
    <row r="80" spans="2:18" x14ac:dyDescent="0.25">
      <c r="B80" s="24" t="s">
        <v>11</v>
      </c>
      <c r="C80" s="24" t="s">
        <v>27</v>
      </c>
      <c r="D80" s="25">
        <v>35</v>
      </c>
      <c r="E80" s="24">
        <v>243</v>
      </c>
      <c r="F80" s="24">
        <v>140</v>
      </c>
      <c r="G80" s="24" t="s">
        <v>18</v>
      </c>
      <c r="H80" s="24" t="s">
        <v>8</v>
      </c>
      <c r="I80" s="26">
        <f t="shared" si="2"/>
        <v>8505</v>
      </c>
      <c r="K80" s="21"/>
      <c r="L80" s="21"/>
      <c r="M80" s="21"/>
      <c r="N80" s="21"/>
      <c r="O80" s="21"/>
      <c r="P80" s="21"/>
      <c r="Q80" s="21"/>
      <c r="R80" s="21"/>
    </row>
    <row r="81" spans="2:18" x14ac:dyDescent="0.25">
      <c r="B81" s="24" t="s">
        <v>11</v>
      </c>
      <c r="C81" s="24" t="s">
        <v>27</v>
      </c>
      <c r="D81" s="25">
        <v>35</v>
      </c>
      <c r="E81" s="24">
        <v>124</v>
      </c>
      <c r="F81" s="24">
        <v>140</v>
      </c>
      <c r="G81" s="24" t="s">
        <v>17</v>
      </c>
      <c r="H81" s="24" t="s">
        <v>8</v>
      </c>
      <c r="I81" s="26">
        <f t="shared" si="2"/>
        <v>4340</v>
      </c>
      <c r="K81" s="21"/>
      <c r="L81" s="21"/>
      <c r="M81" s="21"/>
      <c r="N81" s="21"/>
      <c r="O81" s="21"/>
      <c r="P81" s="21"/>
      <c r="Q81" s="21"/>
      <c r="R81" s="21"/>
    </row>
    <row r="82" spans="2:18" x14ac:dyDescent="0.25">
      <c r="B82" s="24" t="s">
        <v>11</v>
      </c>
      <c r="C82" s="24" t="s">
        <v>27</v>
      </c>
      <c r="D82" s="25">
        <v>35</v>
      </c>
      <c r="E82" s="24">
        <v>124</v>
      </c>
      <c r="F82" s="24">
        <v>140</v>
      </c>
      <c r="G82" s="24" t="s">
        <v>16</v>
      </c>
      <c r="H82" s="24" t="s">
        <v>8</v>
      </c>
      <c r="I82" s="26">
        <f t="shared" si="2"/>
        <v>4340</v>
      </c>
      <c r="K82" s="21"/>
      <c r="L82" s="21"/>
      <c r="M82" s="21"/>
      <c r="N82" s="21"/>
      <c r="O82" s="21"/>
      <c r="P82" s="21"/>
      <c r="Q82" s="21"/>
      <c r="R82" s="21"/>
    </row>
    <row r="83" spans="2:18" x14ac:dyDescent="0.25">
      <c r="B83" s="24" t="s">
        <v>11</v>
      </c>
      <c r="C83" s="24" t="s">
        <v>27</v>
      </c>
      <c r="D83" s="25">
        <v>35</v>
      </c>
      <c r="E83" s="24">
        <v>145</v>
      </c>
      <c r="F83" s="24">
        <v>140</v>
      </c>
      <c r="G83" s="24" t="s">
        <v>16</v>
      </c>
      <c r="H83" s="24" t="s">
        <v>6</v>
      </c>
      <c r="I83" s="26">
        <f t="shared" si="2"/>
        <v>5075</v>
      </c>
      <c r="K83" s="21"/>
      <c r="L83" s="21"/>
      <c r="M83" s="21"/>
      <c r="N83" s="21"/>
      <c r="O83" s="21"/>
      <c r="P83" s="21"/>
      <c r="Q83" s="21"/>
      <c r="R83" s="21"/>
    </row>
    <row r="84" spans="2:18" x14ac:dyDescent="0.25">
      <c r="B84" s="24" t="s">
        <v>11</v>
      </c>
      <c r="C84" s="24" t="s">
        <v>27</v>
      </c>
      <c r="D84" s="25">
        <v>35</v>
      </c>
      <c r="E84" s="24">
        <v>425</v>
      </c>
      <c r="F84" s="24">
        <v>140</v>
      </c>
      <c r="G84" s="24" t="s">
        <v>17</v>
      </c>
      <c r="H84" s="24" t="s">
        <v>6</v>
      </c>
      <c r="I84" s="26">
        <f t="shared" si="2"/>
        <v>14875</v>
      </c>
      <c r="K84" s="21"/>
      <c r="L84" s="21"/>
      <c r="M84" s="21"/>
      <c r="N84" s="21"/>
      <c r="O84" s="21"/>
      <c r="P84" s="21"/>
      <c r="Q84" s="21"/>
      <c r="R84" s="21"/>
    </row>
    <row r="85" spans="2:18" x14ac:dyDescent="0.25">
      <c r="B85" s="24" t="s">
        <v>11</v>
      </c>
      <c r="C85" s="24" t="s">
        <v>27</v>
      </c>
      <c r="D85" s="25">
        <v>35</v>
      </c>
      <c r="E85" s="24">
        <v>102</v>
      </c>
      <c r="F85" s="24">
        <v>140</v>
      </c>
      <c r="G85" s="24" t="s">
        <v>17</v>
      </c>
      <c r="H85" s="24" t="s">
        <v>6</v>
      </c>
      <c r="I85" s="26">
        <f t="shared" si="2"/>
        <v>3570</v>
      </c>
      <c r="K85" s="21"/>
      <c r="L85" s="21"/>
      <c r="M85" s="21"/>
      <c r="N85" s="21"/>
      <c r="O85" s="21"/>
      <c r="P85" s="21"/>
      <c r="Q85" s="21"/>
      <c r="R85" s="21"/>
    </row>
    <row r="86" spans="2:18" x14ac:dyDescent="0.25">
      <c r="B86" s="24" t="s">
        <v>11</v>
      </c>
      <c r="C86" s="24" t="s">
        <v>27</v>
      </c>
      <c r="D86" s="25">
        <v>35</v>
      </c>
      <c r="E86" s="24">
        <v>102</v>
      </c>
      <c r="F86" s="24">
        <v>140</v>
      </c>
      <c r="G86" s="24" t="s">
        <v>15</v>
      </c>
      <c r="H86" s="24" t="s">
        <v>6</v>
      </c>
      <c r="I86" s="26">
        <f t="shared" si="2"/>
        <v>3570</v>
      </c>
      <c r="K86" s="21"/>
      <c r="L86" s="21"/>
      <c r="M86" s="21"/>
      <c r="N86" s="21"/>
      <c r="O86" s="21"/>
      <c r="P86" s="21"/>
      <c r="Q86" s="21"/>
      <c r="R86" s="21"/>
    </row>
    <row r="87" spans="2:18" x14ac:dyDescent="0.25">
      <c r="B87" s="24" t="s">
        <v>11</v>
      </c>
      <c r="C87" s="24" t="s">
        <v>27</v>
      </c>
      <c r="D87" s="25">
        <v>35</v>
      </c>
      <c r="E87" s="24">
        <v>361</v>
      </c>
      <c r="F87" s="24">
        <v>140</v>
      </c>
      <c r="G87" s="24" t="s">
        <v>15</v>
      </c>
      <c r="H87" s="24" t="s">
        <v>8</v>
      </c>
      <c r="I87" s="26">
        <f t="shared" si="2"/>
        <v>12635</v>
      </c>
      <c r="K87" s="21"/>
      <c r="L87" s="21"/>
      <c r="M87" s="21"/>
      <c r="N87" s="21"/>
      <c r="O87" s="21"/>
      <c r="P87" s="21"/>
      <c r="Q87" s="21"/>
      <c r="R87" s="21"/>
    </row>
    <row r="88" spans="2:18" x14ac:dyDescent="0.25">
      <c r="B88" s="24" t="s">
        <v>11</v>
      </c>
      <c r="C88" s="24" t="s">
        <v>27</v>
      </c>
      <c r="D88" s="25">
        <v>35</v>
      </c>
      <c r="E88" s="24">
        <v>143</v>
      </c>
      <c r="F88" s="24">
        <v>140</v>
      </c>
      <c r="G88" s="24" t="s">
        <v>16</v>
      </c>
      <c r="H88" s="24" t="s">
        <v>8</v>
      </c>
      <c r="I88" s="26">
        <f t="shared" si="2"/>
        <v>5005</v>
      </c>
      <c r="K88" s="21"/>
      <c r="L88" s="21"/>
      <c r="M88" s="21"/>
      <c r="N88" s="21"/>
      <c r="O88" s="21"/>
      <c r="P88" s="21"/>
      <c r="Q88" s="21"/>
      <c r="R88" s="21"/>
    </row>
    <row r="89" spans="2:18" x14ac:dyDescent="0.25">
      <c r="B89" s="24" t="s">
        <v>11</v>
      </c>
      <c r="C89" s="24" t="s">
        <v>27</v>
      </c>
      <c r="D89" s="25">
        <v>35</v>
      </c>
      <c r="E89" s="24">
        <v>89</v>
      </c>
      <c r="F89" s="24">
        <v>140</v>
      </c>
      <c r="G89" s="24" t="s">
        <v>16</v>
      </c>
      <c r="H89" s="24" t="s">
        <v>6</v>
      </c>
      <c r="I89" s="26">
        <f t="shared" si="2"/>
        <v>3115</v>
      </c>
      <c r="K89" s="21"/>
      <c r="L89" s="21"/>
      <c r="M89" s="21"/>
      <c r="N89" s="21"/>
      <c r="O89" s="21"/>
      <c r="P89" s="21"/>
      <c r="Q89" s="21"/>
      <c r="R89" s="21"/>
    </row>
    <row r="90" spans="2:18" x14ac:dyDescent="0.25">
      <c r="B90" s="24" t="s">
        <v>11</v>
      </c>
      <c r="C90" s="24" t="s">
        <v>27</v>
      </c>
      <c r="D90" s="25">
        <v>35</v>
      </c>
      <c r="E90" s="24">
        <v>145</v>
      </c>
      <c r="F90" s="24">
        <v>140</v>
      </c>
      <c r="G90" s="24" t="s">
        <v>15</v>
      </c>
      <c r="H90" s="24" t="s">
        <v>6</v>
      </c>
      <c r="I90" s="26">
        <f t="shared" si="2"/>
        <v>5075</v>
      </c>
      <c r="K90" s="21"/>
      <c r="L90" s="21"/>
      <c r="M90" s="21"/>
      <c r="N90" s="21"/>
      <c r="O90" s="21"/>
      <c r="P90" s="21"/>
      <c r="Q90" s="21"/>
      <c r="R90" s="21"/>
    </row>
    <row r="91" spans="2:18" x14ac:dyDescent="0.25">
      <c r="B91" s="24" t="s">
        <v>11</v>
      </c>
      <c r="C91" s="24" t="s">
        <v>27</v>
      </c>
      <c r="D91" s="25">
        <v>35</v>
      </c>
      <c r="E91" s="24">
        <v>324</v>
      </c>
      <c r="F91" s="24">
        <v>140</v>
      </c>
      <c r="G91" s="24" t="s">
        <v>15</v>
      </c>
      <c r="H91" s="24" t="s">
        <v>8</v>
      </c>
      <c r="I91" s="26">
        <f t="shared" si="2"/>
        <v>11340</v>
      </c>
      <c r="K91" s="21"/>
      <c r="L91" s="21"/>
      <c r="M91" s="21"/>
      <c r="N91" s="21"/>
      <c r="O91" s="21"/>
      <c r="P91" s="21"/>
      <c r="Q91" s="21"/>
      <c r="R91" s="21"/>
    </row>
    <row r="92" spans="2:18" x14ac:dyDescent="0.25">
      <c r="B92" s="24" t="s">
        <v>11</v>
      </c>
      <c r="C92" s="24" t="s">
        <v>27</v>
      </c>
      <c r="D92" s="25">
        <v>35</v>
      </c>
      <c r="E92" s="24">
        <v>361</v>
      </c>
      <c r="F92" s="24">
        <v>140</v>
      </c>
      <c r="G92" s="24" t="s">
        <v>14</v>
      </c>
      <c r="H92" s="24" t="s">
        <v>8</v>
      </c>
      <c r="I92" s="26">
        <f t="shared" si="2"/>
        <v>12635</v>
      </c>
      <c r="K92" s="21"/>
      <c r="L92" s="21"/>
      <c r="M92" s="21"/>
      <c r="N92" s="21"/>
      <c r="O92" s="21"/>
      <c r="P92" s="21"/>
      <c r="Q92" s="21"/>
      <c r="R92" s="21"/>
    </row>
    <row r="93" spans="2:18" x14ac:dyDescent="0.25">
      <c r="B93" s="24" t="s">
        <v>11</v>
      </c>
      <c r="C93" s="24" t="s">
        <v>27</v>
      </c>
      <c r="D93" s="25">
        <v>35</v>
      </c>
      <c r="E93" s="24">
        <v>345</v>
      </c>
      <c r="F93" s="24">
        <v>140</v>
      </c>
      <c r="G93" s="24" t="s">
        <v>14</v>
      </c>
      <c r="H93" s="24" t="s">
        <v>6</v>
      </c>
      <c r="I93" s="26">
        <f t="shared" si="2"/>
        <v>12075</v>
      </c>
      <c r="K93" s="21"/>
      <c r="L93" s="21"/>
      <c r="M93" s="21"/>
      <c r="N93" s="21"/>
      <c r="O93" s="21"/>
      <c r="P93" s="21"/>
      <c r="Q93" s="21"/>
      <c r="R93" s="21"/>
    </row>
    <row r="94" spans="2:18" x14ac:dyDescent="0.25">
      <c r="B94" s="24" t="s">
        <v>11</v>
      </c>
      <c r="C94" s="24" t="s">
        <v>27</v>
      </c>
      <c r="D94" s="25">
        <v>35</v>
      </c>
      <c r="E94" s="24">
        <v>521</v>
      </c>
      <c r="F94" s="24">
        <v>140</v>
      </c>
      <c r="G94" s="24" t="s">
        <v>13</v>
      </c>
      <c r="H94" s="24" t="s">
        <v>6</v>
      </c>
      <c r="I94" s="26">
        <f t="shared" si="2"/>
        <v>18235</v>
      </c>
      <c r="K94" s="21"/>
      <c r="L94" s="21"/>
      <c r="M94" s="21"/>
      <c r="N94" s="21"/>
      <c r="O94" s="21"/>
      <c r="P94" s="21"/>
      <c r="Q94" s="21"/>
      <c r="R94" s="21"/>
    </row>
    <row r="95" spans="2:18" x14ac:dyDescent="0.25">
      <c r="B95" s="24" t="s">
        <v>11</v>
      </c>
      <c r="C95" s="24" t="s">
        <v>27</v>
      </c>
      <c r="D95" s="25">
        <v>35</v>
      </c>
      <c r="E95" s="24">
        <v>425</v>
      </c>
      <c r="F95" s="24">
        <v>140</v>
      </c>
      <c r="G95" s="24" t="s">
        <v>12</v>
      </c>
      <c r="H95" s="24" t="s">
        <v>6</v>
      </c>
      <c r="I95" s="26">
        <f t="shared" si="2"/>
        <v>14875</v>
      </c>
      <c r="K95" s="21"/>
      <c r="L95" s="21"/>
      <c r="M95" s="21"/>
      <c r="N95" s="21"/>
      <c r="O95" s="21"/>
      <c r="P95" s="21"/>
      <c r="Q95" s="21"/>
      <c r="R95" s="21"/>
    </row>
    <row r="96" spans="2:18" x14ac:dyDescent="0.25">
      <c r="B96" s="24" t="s">
        <v>11</v>
      </c>
      <c r="C96" s="24" t="s">
        <v>27</v>
      </c>
      <c r="D96" s="25">
        <v>35</v>
      </c>
      <c r="E96" s="24">
        <v>154</v>
      </c>
      <c r="F96" s="24">
        <v>140</v>
      </c>
      <c r="G96" s="24" t="s">
        <v>12</v>
      </c>
      <c r="H96" s="24" t="s">
        <v>6</v>
      </c>
      <c r="I96" s="26">
        <f t="shared" si="2"/>
        <v>5390</v>
      </c>
      <c r="K96" s="21"/>
      <c r="L96" s="21"/>
      <c r="M96" s="21"/>
      <c r="N96" s="21"/>
      <c r="O96" s="21"/>
      <c r="P96" s="21"/>
      <c r="Q96" s="21"/>
      <c r="R96" s="21"/>
    </row>
    <row r="97" spans="2:18" x14ac:dyDescent="0.25">
      <c r="B97" s="24" t="s">
        <v>11</v>
      </c>
      <c r="C97" s="24" t="s">
        <v>27</v>
      </c>
      <c r="D97" s="25">
        <v>35</v>
      </c>
      <c r="E97" s="24">
        <v>245</v>
      </c>
      <c r="F97" s="24">
        <v>140</v>
      </c>
      <c r="G97" s="24" t="s">
        <v>12</v>
      </c>
      <c r="H97" s="24" t="s">
        <v>8</v>
      </c>
      <c r="I97" s="26">
        <f t="shared" si="2"/>
        <v>8575</v>
      </c>
      <c r="K97" s="21"/>
      <c r="L97" s="21"/>
      <c r="M97" s="21"/>
      <c r="N97" s="21"/>
      <c r="O97" s="21"/>
      <c r="P97" s="21"/>
      <c r="Q97" s="21"/>
      <c r="R97" s="21"/>
    </row>
    <row r="98" spans="2:18" x14ac:dyDescent="0.25">
      <c r="B98" s="24" t="s">
        <v>11</v>
      </c>
      <c r="C98" s="24" t="s">
        <v>27</v>
      </c>
      <c r="D98" s="25">
        <v>35</v>
      </c>
      <c r="E98" s="24">
        <v>245</v>
      </c>
      <c r="F98" s="24">
        <v>140</v>
      </c>
      <c r="G98" s="24" t="s">
        <v>7</v>
      </c>
      <c r="H98" s="24" t="s">
        <v>8</v>
      </c>
      <c r="I98" s="26">
        <f t="shared" si="2"/>
        <v>8575</v>
      </c>
    </row>
    <row r="99" spans="2:18" x14ac:dyDescent="0.25">
      <c r="B99" s="24" t="s">
        <v>11</v>
      </c>
      <c r="C99" s="24" t="s">
        <v>27</v>
      </c>
      <c r="D99" s="25">
        <v>35</v>
      </c>
      <c r="E99" s="24">
        <v>301</v>
      </c>
      <c r="F99" s="24">
        <v>140</v>
      </c>
      <c r="G99" s="24" t="s">
        <v>7</v>
      </c>
      <c r="H99" s="24" t="s">
        <v>6</v>
      </c>
      <c r="I99" s="26">
        <f t="shared" si="2"/>
        <v>10535</v>
      </c>
    </row>
    <row r="100" spans="2:18" x14ac:dyDescent="0.25">
      <c r="B100" s="24" t="s">
        <v>23</v>
      </c>
      <c r="C100" s="24" t="s">
        <v>27</v>
      </c>
      <c r="D100" s="25">
        <v>100</v>
      </c>
      <c r="E100" s="24">
        <v>301</v>
      </c>
      <c r="F100" s="24">
        <v>140</v>
      </c>
      <c r="G100" s="24" t="s">
        <v>22</v>
      </c>
      <c r="H100" s="24" t="s">
        <v>6</v>
      </c>
      <c r="I100" s="26">
        <f t="shared" si="2"/>
        <v>30100</v>
      </c>
    </row>
    <row r="101" spans="2:18" x14ac:dyDescent="0.25">
      <c r="B101" s="24" t="s">
        <v>23</v>
      </c>
      <c r="C101" s="24" t="s">
        <v>27</v>
      </c>
      <c r="D101" s="25">
        <v>100</v>
      </c>
      <c r="E101" s="24">
        <v>345</v>
      </c>
      <c r="F101" s="24">
        <v>140</v>
      </c>
      <c r="G101" s="24" t="s">
        <v>22</v>
      </c>
      <c r="H101" s="24" t="s">
        <v>8</v>
      </c>
      <c r="I101" s="26">
        <f t="shared" si="2"/>
        <v>34500</v>
      </c>
    </row>
    <row r="102" spans="2:18" x14ac:dyDescent="0.25">
      <c r="B102" s="24" t="s">
        <v>23</v>
      </c>
      <c r="C102" s="24" t="s">
        <v>27</v>
      </c>
      <c r="D102" s="25">
        <v>100</v>
      </c>
      <c r="E102" s="24">
        <v>201</v>
      </c>
      <c r="F102" s="24">
        <v>140</v>
      </c>
      <c r="G102" s="24" t="s">
        <v>21</v>
      </c>
      <c r="H102" s="24" t="s">
        <v>8</v>
      </c>
      <c r="I102" s="26">
        <f t="shared" si="2"/>
        <v>20100</v>
      </c>
    </row>
    <row r="103" spans="2:18" x14ac:dyDescent="0.25">
      <c r="B103" s="24" t="s">
        <v>23</v>
      </c>
      <c r="C103" s="24" t="s">
        <v>27</v>
      </c>
      <c r="D103" s="25">
        <v>100</v>
      </c>
      <c r="E103" s="24">
        <v>197</v>
      </c>
      <c r="F103" s="24">
        <v>142</v>
      </c>
      <c r="G103" s="24" t="s">
        <v>21</v>
      </c>
      <c r="H103" s="24" t="s">
        <v>8</v>
      </c>
      <c r="I103" s="26">
        <f t="shared" si="2"/>
        <v>19700</v>
      </c>
    </row>
    <row r="104" spans="2:18" x14ac:dyDescent="0.25">
      <c r="B104" s="24" t="s">
        <v>23</v>
      </c>
      <c r="C104" s="24" t="s">
        <v>27</v>
      </c>
      <c r="D104" s="25">
        <v>100</v>
      </c>
      <c r="E104" s="24">
        <v>145</v>
      </c>
      <c r="F104" s="24">
        <v>142</v>
      </c>
      <c r="G104" s="24" t="s">
        <v>20</v>
      </c>
      <c r="H104" s="24" t="s">
        <v>8</v>
      </c>
      <c r="I104" s="26">
        <f t="shared" si="2"/>
        <v>14500</v>
      </c>
    </row>
    <row r="105" spans="2:18" x14ac:dyDescent="0.25">
      <c r="B105" s="24" t="s">
        <v>23</v>
      </c>
      <c r="C105" s="24" t="s">
        <v>27</v>
      </c>
      <c r="D105" s="25">
        <v>100</v>
      </c>
      <c r="E105" s="24">
        <v>215</v>
      </c>
      <c r="F105" s="24">
        <v>142</v>
      </c>
      <c r="G105" s="24" t="s">
        <v>20</v>
      </c>
      <c r="H105" s="24" t="s">
        <v>8</v>
      </c>
      <c r="I105" s="26">
        <f t="shared" si="2"/>
        <v>21500</v>
      </c>
    </row>
    <row r="106" spans="2:18" x14ac:dyDescent="0.25">
      <c r="B106" s="24" t="s">
        <v>23</v>
      </c>
      <c r="C106" s="24" t="s">
        <v>27</v>
      </c>
      <c r="D106" s="25">
        <v>100</v>
      </c>
      <c r="E106" s="24">
        <v>302</v>
      </c>
      <c r="F106" s="24">
        <v>105</v>
      </c>
      <c r="G106" s="24" t="s">
        <v>19</v>
      </c>
      <c r="H106" s="24" t="s">
        <v>8</v>
      </c>
      <c r="I106" s="26">
        <f t="shared" si="2"/>
        <v>30200</v>
      </c>
    </row>
    <row r="107" spans="2:18" x14ac:dyDescent="0.25">
      <c r="B107" s="24" t="s">
        <v>23</v>
      </c>
      <c r="C107" s="24" t="s">
        <v>27</v>
      </c>
      <c r="D107" s="25">
        <v>100</v>
      </c>
      <c r="E107" s="24">
        <v>345</v>
      </c>
      <c r="F107" s="24">
        <v>105</v>
      </c>
      <c r="G107" s="24" t="s">
        <v>19</v>
      </c>
      <c r="H107" s="24" t="s">
        <v>6</v>
      </c>
      <c r="I107" s="26">
        <f t="shared" si="2"/>
        <v>34500</v>
      </c>
    </row>
    <row r="108" spans="2:18" x14ac:dyDescent="0.25">
      <c r="B108" s="24" t="s">
        <v>23</v>
      </c>
      <c r="C108" s="24" t="s">
        <v>27</v>
      </c>
      <c r="D108" s="25">
        <v>100</v>
      </c>
      <c r="E108" s="24">
        <v>210</v>
      </c>
      <c r="F108" s="24">
        <v>105</v>
      </c>
      <c r="G108" s="24" t="s">
        <v>18</v>
      </c>
      <c r="H108" s="24" t="s">
        <v>6</v>
      </c>
      <c r="I108" s="26">
        <f t="shared" si="2"/>
        <v>21000</v>
      </c>
    </row>
    <row r="109" spans="2:18" x14ac:dyDescent="0.25">
      <c r="B109" s="24" t="s">
        <v>23</v>
      </c>
      <c r="C109" s="24" t="s">
        <v>27</v>
      </c>
      <c r="D109" s="25">
        <v>100</v>
      </c>
      <c r="E109" s="24">
        <v>236</v>
      </c>
      <c r="F109" s="24">
        <v>106</v>
      </c>
      <c r="G109" s="24" t="s">
        <v>18</v>
      </c>
      <c r="H109" s="24" t="s">
        <v>8</v>
      </c>
      <c r="I109" s="26">
        <f t="shared" si="2"/>
        <v>23600</v>
      </c>
    </row>
    <row r="110" spans="2:18" x14ac:dyDescent="0.25">
      <c r="B110" s="24" t="s">
        <v>23</v>
      </c>
      <c r="C110" s="24" t="s">
        <v>27</v>
      </c>
      <c r="D110" s="25">
        <v>100</v>
      </c>
      <c r="E110" s="24">
        <v>457</v>
      </c>
      <c r="F110" s="24">
        <v>52</v>
      </c>
      <c r="G110" s="24" t="s">
        <v>17</v>
      </c>
      <c r="H110" s="24" t="s">
        <v>8</v>
      </c>
      <c r="I110" s="26">
        <f t="shared" si="2"/>
        <v>45700</v>
      </c>
    </row>
    <row r="111" spans="2:18" x14ac:dyDescent="0.25">
      <c r="B111" s="24" t="s">
        <v>23</v>
      </c>
      <c r="C111" s="24" t="s">
        <v>27</v>
      </c>
      <c r="D111" s="25">
        <v>100</v>
      </c>
      <c r="E111" s="24">
        <v>456</v>
      </c>
      <c r="F111" s="24">
        <v>52</v>
      </c>
      <c r="G111" s="24" t="s">
        <v>16</v>
      </c>
      <c r="H111" s="24" t="s">
        <v>8</v>
      </c>
      <c r="I111" s="26">
        <f t="shared" ref="I111:I127" si="3">D111*E111</f>
        <v>45600</v>
      </c>
    </row>
    <row r="112" spans="2:18" x14ac:dyDescent="0.25">
      <c r="B112" s="24" t="s">
        <v>23</v>
      </c>
      <c r="C112" s="24" t="s">
        <v>27</v>
      </c>
      <c r="D112" s="25">
        <v>100</v>
      </c>
      <c r="E112" s="24">
        <v>236</v>
      </c>
      <c r="F112" s="24">
        <v>52</v>
      </c>
      <c r="G112" s="24" t="s">
        <v>16</v>
      </c>
      <c r="H112" s="24" t="s">
        <v>6</v>
      </c>
      <c r="I112" s="26">
        <f t="shared" si="3"/>
        <v>23600</v>
      </c>
    </row>
    <row r="113" spans="2:9" x14ac:dyDescent="0.25">
      <c r="B113" s="24" t="s">
        <v>23</v>
      </c>
      <c r="C113" s="24" t="s">
        <v>27</v>
      </c>
      <c r="D113" s="25">
        <v>100</v>
      </c>
      <c r="E113" s="24">
        <v>98</v>
      </c>
      <c r="F113" s="24">
        <v>102</v>
      </c>
      <c r="G113" s="24" t="s">
        <v>16</v>
      </c>
      <c r="H113" s="24" t="s">
        <v>6</v>
      </c>
      <c r="I113" s="26">
        <f t="shared" si="3"/>
        <v>9800</v>
      </c>
    </row>
    <row r="114" spans="2:9" x14ac:dyDescent="0.25">
      <c r="B114" s="24" t="s">
        <v>23</v>
      </c>
      <c r="C114" s="24" t="s">
        <v>27</v>
      </c>
      <c r="D114" s="25">
        <v>100</v>
      </c>
      <c r="E114" s="24">
        <v>21</v>
      </c>
      <c r="F114" s="24">
        <v>90</v>
      </c>
      <c r="G114" s="24" t="s">
        <v>15</v>
      </c>
      <c r="H114" s="24" t="s">
        <v>8</v>
      </c>
      <c r="I114" s="26">
        <f t="shared" si="3"/>
        <v>2100</v>
      </c>
    </row>
    <row r="115" spans="2:9" x14ac:dyDescent="0.25">
      <c r="B115" s="24" t="s">
        <v>23</v>
      </c>
      <c r="C115" s="24" t="s">
        <v>27</v>
      </c>
      <c r="D115" s="25">
        <v>100</v>
      </c>
      <c r="E115" s="24">
        <v>43</v>
      </c>
      <c r="F115" s="24">
        <v>90</v>
      </c>
      <c r="G115" s="24" t="s">
        <v>15</v>
      </c>
      <c r="H115" s="24" t="s">
        <v>8</v>
      </c>
      <c r="I115" s="26">
        <f t="shared" si="3"/>
        <v>4300</v>
      </c>
    </row>
    <row r="116" spans="2:9" x14ac:dyDescent="0.25">
      <c r="B116" s="24" t="s">
        <v>23</v>
      </c>
      <c r="C116" s="24" t="s">
        <v>27</v>
      </c>
      <c r="D116" s="25">
        <v>100</v>
      </c>
      <c r="E116" s="24">
        <v>54</v>
      </c>
      <c r="F116" s="24">
        <v>90</v>
      </c>
      <c r="G116" s="24" t="s">
        <v>15</v>
      </c>
      <c r="H116" s="24" t="s">
        <v>8</v>
      </c>
      <c r="I116" s="26">
        <f t="shared" si="3"/>
        <v>5400</v>
      </c>
    </row>
    <row r="117" spans="2:9" x14ac:dyDescent="0.25">
      <c r="B117" s="24" t="s">
        <v>23</v>
      </c>
      <c r="C117" s="24" t="s">
        <v>27</v>
      </c>
      <c r="D117" s="25">
        <v>100</v>
      </c>
      <c r="E117" s="24">
        <v>54</v>
      </c>
      <c r="F117" s="24">
        <v>90</v>
      </c>
      <c r="G117" s="24" t="s">
        <v>14</v>
      </c>
      <c r="H117" s="24" t="s">
        <v>8</v>
      </c>
      <c r="I117" s="26">
        <f t="shared" si="3"/>
        <v>5400</v>
      </c>
    </row>
    <row r="118" spans="2:9" x14ac:dyDescent="0.25">
      <c r="B118" s="24" t="s">
        <v>23</v>
      </c>
      <c r="C118" s="24" t="s">
        <v>27</v>
      </c>
      <c r="D118" s="25">
        <v>100</v>
      </c>
      <c r="E118" s="24">
        <v>23</v>
      </c>
      <c r="F118" s="24">
        <v>90</v>
      </c>
      <c r="G118" s="24" t="s">
        <v>14</v>
      </c>
      <c r="H118" s="24" t="s">
        <v>6</v>
      </c>
      <c r="I118" s="26">
        <f t="shared" si="3"/>
        <v>2300</v>
      </c>
    </row>
    <row r="119" spans="2:9" x14ac:dyDescent="0.25">
      <c r="B119" s="24" t="s">
        <v>23</v>
      </c>
      <c r="C119" s="24" t="s">
        <v>27</v>
      </c>
      <c r="D119" s="25">
        <v>100</v>
      </c>
      <c r="E119" s="24">
        <v>32</v>
      </c>
      <c r="F119" s="24">
        <v>90</v>
      </c>
      <c r="G119" s="24" t="s">
        <v>14</v>
      </c>
      <c r="H119" s="24" t="s">
        <v>6</v>
      </c>
      <c r="I119" s="26">
        <f t="shared" si="3"/>
        <v>3200</v>
      </c>
    </row>
    <row r="120" spans="2:9" x14ac:dyDescent="0.25">
      <c r="B120" s="24" t="s">
        <v>23</v>
      </c>
      <c r="C120" s="24" t="s">
        <v>27</v>
      </c>
      <c r="D120" s="25">
        <v>100</v>
      </c>
      <c r="E120" s="24">
        <v>76</v>
      </c>
      <c r="F120" s="24">
        <v>90</v>
      </c>
      <c r="G120" s="24" t="s">
        <v>14</v>
      </c>
      <c r="H120" s="24" t="s">
        <v>6</v>
      </c>
      <c r="I120" s="26">
        <f t="shared" si="3"/>
        <v>7600</v>
      </c>
    </row>
    <row r="121" spans="2:9" x14ac:dyDescent="0.25">
      <c r="B121" s="24" t="s">
        <v>23</v>
      </c>
      <c r="C121" s="24" t="s">
        <v>27</v>
      </c>
      <c r="D121" s="25">
        <v>100</v>
      </c>
      <c r="E121" s="24">
        <v>43</v>
      </c>
      <c r="F121" s="24">
        <v>90</v>
      </c>
      <c r="G121" s="24" t="s">
        <v>14</v>
      </c>
      <c r="H121" s="24" t="s">
        <v>6</v>
      </c>
      <c r="I121" s="26">
        <f t="shared" si="3"/>
        <v>4300</v>
      </c>
    </row>
    <row r="122" spans="2:9" x14ac:dyDescent="0.25">
      <c r="B122" s="24" t="s">
        <v>23</v>
      </c>
      <c r="C122" s="24" t="s">
        <v>27</v>
      </c>
      <c r="D122" s="25">
        <v>100</v>
      </c>
      <c r="E122" s="24">
        <v>43</v>
      </c>
      <c r="F122" s="24">
        <v>90</v>
      </c>
      <c r="G122" s="24" t="s">
        <v>14</v>
      </c>
      <c r="H122" s="24" t="s">
        <v>8</v>
      </c>
      <c r="I122" s="26">
        <f t="shared" si="3"/>
        <v>4300</v>
      </c>
    </row>
    <row r="123" spans="2:9" x14ac:dyDescent="0.25">
      <c r="B123" s="24" t="s">
        <v>23</v>
      </c>
      <c r="C123" s="24" t="s">
        <v>27</v>
      </c>
      <c r="D123" s="25">
        <v>100</v>
      </c>
      <c r="E123" s="24">
        <v>23</v>
      </c>
      <c r="F123" s="24">
        <v>90</v>
      </c>
      <c r="G123" s="24" t="s">
        <v>14</v>
      </c>
      <c r="H123" s="24" t="s">
        <v>8</v>
      </c>
      <c r="I123" s="26">
        <f t="shared" si="3"/>
        <v>2300</v>
      </c>
    </row>
    <row r="124" spans="2:9" x14ac:dyDescent="0.25">
      <c r="B124" s="24" t="s">
        <v>23</v>
      </c>
      <c r="C124" s="24" t="s">
        <v>27</v>
      </c>
      <c r="D124" s="25">
        <v>100</v>
      </c>
      <c r="E124" s="24">
        <v>43</v>
      </c>
      <c r="F124" s="24">
        <v>90</v>
      </c>
      <c r="G124" s="24" t="s">
        <v>14</v>
      </c>
      <c r="H124" s="24" t="s">
        <v>8</v>
      </c>
      <c r="I124" s="26">
        <f t="shared" si="3"/>
        <v>4300</v>
      </c>
    </row>
    <row r="125" spans="2:9" x14ac:dyDescent="0.25">
      <c r="B125" s="24" t="s">
        <v>23</v>
      </c>
      <c r="C125" s="24" t="s">
        <v>27</v>
      </c>
      <c r="D125" s="25">
        <v>100</v>
      </c>
      <c r="E125" s="24">
        <v>65</v>
      </c>
      <c r="F125" s="24">
        <v>90</v>
      </c>
      <c r="G125" s="24" t="s">
        <v>14</v>
      </c>
      <c r="H125" s="24" t="s">
        <v>8</v>
      </c>
      <c r="I125" s="26">
        <f t="shared" si="3"/>
        <v>6500</v>
      </c>
    </row>
    <row r="126" spans="2:9" x14ac:dyDescent="0.25">
      <c r="B126" s="24" t="s">
        <v>23</v>
      </c>
      <c r="C126" s="24" t="s">
        <v>27</v>
      </c>
      <c r="D126" s="25">
        <v>100</v>
      </c>
      <c r="E126" s="24">
        <v>54</v>
      </c>
      <c r="F126" s="24">
        <v>90</v>
      </c>
      <c r="G126" s="24" t="s">
        <v>14</v>
      </c>
      <c r="H126" s="24" t="s">
        <v>8</v>
      </c>
      <c r="I126" s="26">
        <f t="shared" si="3"/>
        <v>5400</v>
      </c>
    </row>
    <row r="127" spans="2:9" x14ac:dyDescent="0.25">
      <c r="B127" s="24" t="s">
        <v>23</v>
      </c>
      <c r="C127" s="24" t="s">
        <v>27</v>
      </c>
      <c r="D127" s="25">
        <v>100</v>
      </c>
      <c r="E127" s="24">
        <v>54</v>
      </c>
      <c r="F127" s="24">
        <v>90</v>
      </c>
      <c r="G127" s="24" t="s">
        <v>13</v>
      </c>
      <c r="H127" s="24" t="s">
        <v>8</v>
      </c>
      <c r="I127" s="26">
        <f t="shared" si="3"/>
        <v>5400</v>
      </c>
    </row>
    <row r="128" spans="2:9" x14ac:dyDescent="0.25">
      <c r="B128" s="24" t="s">
        <v>23</v>
      </c>
      <c r="C128" s="24" t="s">
        <v>27</v>
      </c>
      <c r="D128" s="25">
        <v>100</v>
      </c>
      <c r="E128" s="24">
        <v>54</v>
      </c>
      <c r="F128" s="24">
        <v>90</v>
      </c>
      <c r="G128" s="24" t="s">
        <v>13</v>
      </c>
      <c r="H128" s="24" t="s">
        <v>8</v>
      </c>
      <c r="I128" s="26">
        <f t="shared" ref="I128:I159" si="4">D128*E128</f>
        <v>5400</v>
      </c>
    </row>
    <row r="129" spans="2:9" x14ac:dyDescent="0.25">
      <c r="B129" s="24" t="s">
        <v>23</v>
      </c>
      <c r="C129" s="24" t="s">
        <v>27</v>
      </c>
      <c r="D129" s="25">
        <v>100</v>
      </c>
      <c r="E129" s="24">
        <v>80</v>
      </c>
      <c r="F129" s="24">
        <v>90</v>
      </c>
      <c r="G129" s="24" t="s">
        <v>12</v>
      </c>
      <c r="H129" s="24" t="s">
        <v>8</v>
      </c>
      <c r="I129" s="26">
        <f t="shared" si="4"/>
        <v>8000</v>
      </c>
    </row>
    <row r="130" spans="2:9" x14ac:dyDescent="0.25">
      <c r="B130" s="24" t="s">
        <v>23</v>
      </c>
      <c r="C130" s="24" t="s">
        <v>27</v>
      </c>
      <c r="D130" s="25">
        <v>100</v>
      </c>
      <c r="E130" s="24">
        <v>45</v>
      </c>
      <c r="F130" s="24">
        <v>52</v>
      </c>
      <c r="G130" s="24" t="s">
        <v>15</v>
      </c>
      <c r="H130" s="24" t="s">
        <v>8</v>
      </c>
      <c r="I130" s="26">
        <f t="shared" si="4"/>
        <v>4500</v>
      </c>
    </row>
    <row r="131" spans="2:9" x14ac:dyDescent="0.25">
      <c r="B131" s="24" t="s">
        <v>23</v>
      </c>
      <c r="C131" s="24" t="s">
        <v>27</v>
      </c>
      <c r="D131" s="25">
        <v>100</v>
      </c>
      <c r="E131" s="24">
        <v>34</v>
      </c>
      <c r="F131" s="24">
        <v>52</v>
      </c>
      <c r="G131" s="24" t="s">
        <v>15</v>
      </c>
      <c r="H131" s="24" t="s">
        <v>6</v>
      </c>
      <c r="I131" s="26">
        <f t="shared" si="4"/>
        <v>3400</v>
      </c>
    </row>
    <row r="132" spans="2:9" x14ac:dyDescent="0.25">
      <c r="B132" s="24" t="s">
        <v>23</v>
      </c>
      <c r="C132" s="24" t="s">
        <v>27</v>
      </c>
      <c r="D132" s="25">
        <v>100</v>
      </c>
      <c r="E132" s="24">
        <v>107</v>
      </c>
      <c r="F132" s="24">
        <v>65</v>
      </c>
      <c r="G132" s="24" t="s">
        <v>15</v>
      </c>
      <c r="H132" s="24" t="s">
        <v>8</v>
      </c>
      <c r="I132" s="26">
        <f t="shared" si="4"/>
        <v>10700</v>
      </c>
    </row>
    <row r="133" spans="2:9" x14ac:dyDescent="0.25">
      <c r="B133" s="24" t="s">
        <v>23</v>
      </c>
      <c r="C133" s="24" t="s">
        <v>27</v>
      </c>
      <c r="D133" s="25">
        <v>100</v>
      </c>
      <c r="E133" s="24">
        <v>120</v>
      </c>
      <c r="F133" s="24">
        <v>78</v>
      </c>
      <c r="G133" s="24" t="s">
        <v>15</v>
      </c>
      <c r="H133" s="24" t="s">
        <v>8</v>
      </c>
      <c r="I133" s="26">
        <f t="shared" si="4"/>
        <v>12000</v>
      </c>
    </row>
    <row r="134" spans="2:9" x14ac:dyDescent="0.25">
      <c r="B134" s="24" t="s">
        <v>23</v>
      </c>
      <c r="C134" s="24" t="s">
        <v>27</v>
      </c>
      <c r="D134" s="25">
        <v>100</v>
      </c>
      <c r="E134" s="24">
        <v>65</v>
      </c>
      <c r="F134" s="24">
        <v>98</v>
      </c>
      <c r="G134" s="24" t="s">
        <v>15</v>
      </c>
      <c r="H134" s="24" t="s">
        <v>8</v>
      </c>
      <c r="I134" s="26">
        <f t="shared" si="4"/>
        <v>6500</v>
      </c>
    </row>
    <row r="135" spans="2:9" x14ac:dyDescent="0.25">
      <c r="B135" s="24" t="s">
        <v>23</v>
      </c>
      <c r="C135" s="24" t="s">
        <v>27</v>
      </c>
      <c r="D135" s="25">
        <v>100</v>
      </c>
      <c r="E135" s="24">
        <v>37</v>
      </c>
      <c r="F135" s="24">
        <v>98</v>
      </c>
      <c r="G135" s="24" t="s">
        <v>15</v>
      </c>
      <c r="H135" s="24" t="s">
        <v>8</v>
      </c>
      <c r="I135" s="26">
        <f t="shared" si="4"/>
        <v>3700</v>
      </c>
    </row>
    <row r="136" spans="2:9" x14ac:dyDescent="0.25">
      <c r="B136" s="24" t="s">
        <v>23</v>
      </c>
      <c r="C136" s="24" t="s">
        <v>27</v>
      </c>
      <c r="D136" s="25">
        <v>100</v>
      </c>
      <c r="E136" s="24">
        <v>32</v>
      </c>
      <c r="F136" s="24">
        <v>100</v>
      </c>
      <c r="G136" s="24" t="s">
        <v>15</v>
      </c>
      <c r="H136" s="24" t="s">
        <v>8</v>
      </c>
      <c r="I136" s="26">
        <f t="shared" si="4"/>
        <v>3200</v>
      </c>
    </row>
    <row r="137" spans="2:9" x14ac:dyDescent="0.25">
      <c r="B137" s="24" t="s">
        <v>23</v>
      </c>
      <c r="C137" s="24" t="s">
        <v>27</v>
      </c>
      <c r="D137" s="25">
        <v>100</v>
      </c>
      <c r="E137" s="24">
        <v>90</v>
      </c>
      <c r="F137" s="24">
        <v>100</v>
      </c>
      <c r="G137" s="24" t="s">
        <v>15</v>
      </c>
      <c r="H137" s="24" t="s">
        <v>6</v>
      </c>
      <c r="I137" s="26">
        <f t="shared" si="4"/>
        <v>9000</v>
      </c>
    </row>
    <row r="138" spans="2:9" x14ac:dyDescent="0.25">
      <c r="B138" s="24" t="s">
        <v>23</v>
      </c>
      <c r="C138" s="24" t="s">
        <v>27</v>
      </c>
      <c r="D138" s="25">
        <v>100</v>
      </c>
      <c r="E138" s="24">
        <v>90</v>
      </c>
      <c r="F138" s="24">
        <v>100</v>
      </c>
      <c r="G138" s="24" t="s">
        <v>7</v>
      </c>
      <c r="H138" s="24" t="s">
        <v>6</v>
      </c>
      <c r="I138" s="26">
        <f t="shared" si="4"/>
        <v>9000</v>
      </c>
    </row>
    <row r="139" spans="2:9" x14ac:dyDescent="0.25">
      <c r="B139" s="24" t="s">
        <v>23</v>
      </c>
      <c r="C139" s="24" t="s">
        <v>27</v>
      </c>
      <c r="D139" s="25">
        <v>100</v>
      </c>
      <c r="E139" s="24">
        <v>55</v>
      </c>
      <c r="F139" s="24">
        <v>89</v>
      </c>
      <c r="G139" s="24" t="s">
        <v>15</v>
      </c>
      <c r="H139" s="24" t="s">
        <v>6</v>
      </c>
      <c r="I139" s="26">
        <f t="shared" si="4"/>
        <v>5500</v>
      </c>
    </row>
    <row r="140" spans="2:9" x14ac:dyDescent="0.25">
      <c r="B140" s="24" t="s">
        <v>23</v>
      </c>
      <c r="C140" s="24" t="s">
        <v>27</v>
      </c>
      <c r="D140" s="25">
        <v>100</v>
      </c>
      <c r="E140" s="24">
        <v>59</v>
      </c>
      <c r="F140" s="24">
        <v>74</v>
      </c>
      <c r="G140" s="24" t="s">
        <v>15</v>
      </c>
      <c r="H140" s="24" t="s">
        <v>6</v>
      </c>
      <c r="I140" s="26">
        <f t="shared" si="4"/>
        <v>5900</v>
      </c>
    </row>
    <row r="141" spans="2:9" x14ac:dyDescent="0.25">
      <c r="B141" s="24" t="s">
        <v>23</v>
      </c>
      <c r="C141" s="24" t="s">
        <v>27</v>
      </c>
      <c r="D141" s="25">
        <v>100</v>
      </c>
      <c r="E141" s="24">
        <v>74</v>
      </c>
      <c r="F141" s="24">
        <v>98</v>
      </c>
      <c r="G141" s="24" t="s">
        <v>15</v>
      </c>
      <c r="H141" s="24" t="s">
        <v>6</v>
      </c>
      <c r="I141" s="26">
        <f t="shared" si="4"/>
        <v>7400</v>
      </c>
    </row>
    <row r="142" spans="2:9" x14ac:dyDescent="0.25">
      <c r="B142" s="24" t="s">
        <v>23</v>
      </c>
      <c r="C142" s="24" t="s">
        <v>27</v>
      </c>
      <c r="D142" s="25">
        <v>100</v>
      </c>
      <c r="E142" s="24">
        <v>78</v>
      </c>
      <c r="F142" s="24">
        <v>98</v>
      </c>
      <c r="G142" s="24" t="s">
        <v>14</v>
      </c>
      <c r="H142" s="24" t="s">
        <v>6</v>
      </c>
      <c r="I142" s="26">
        <f t="shared" si="4"/>
        <v>7800</v>
      </c>
    </row>
    <row r="143" spans="2:9" x14ac:dyDescent="0.25">
      <c r="B143" s="24" t="s">
        <v>23</v>
      </c>
      <c r="C143" s="24" t="s">
        <v>27</v>
      </c>
      <c r="D143" s="25">
        <v>100</v>
      </c>
      <c r="E143" s="24">
        <v>48</v>
      </c>
      <c r="F143" s="24">
        <v>64</v>
      </c>
      <c r="G143" s="24" t="s">
        <v>14</v>
      </c>
      <c r="H143" s="24" t="s">
        <v>6</v>
      </c>
      <c r="I143" s="26">
        <f t="shared" si="4"/>
        <v>4800</v>
      </c>
    </row>
    <row r="144" spans="2:9" x14ac:dyDescent="0.25">
      <c r="B144" s="24" t="s">
        <v>23</v>
      </c>
      <c r="C144" s="24" t="s">
        <v>27</v>
      </c>
      <c r="D144" s="25">
        <v>100</v>
      </c>
      <c r="E144" s="24">
        <v>67</v>
      </c>
      <c r="F144" s="24">
        <v>102</v>
      </c>
      <c r="G144" s="24" t="s">
        <v>14</v>
      </c>
      <c r="H144" s="24" t="s">
        <v>6</v>
      </c>
      <c r="I144" s="26">
        <f t="shared" si="4"/>
        <v>6700</v>
      </c>
    </row>
    <row r="145" spans="2:9" x14ac:dyDescent="0.25">
      <c r="B145" s="24" t="s">
        <v>23</v>
      </c>
      <c r="C145" s="24" t="s">
        <v>27</v>
      </c>
      <c r="D145" s="25">
        <v>100</v>
      </c>
      <c r="E145" s="24">
        <v>98</v>
      </c>
      <c r="F145" s="24">
        <v>150</v>
      </c>
      <c r="G145" s="24" t="s">
        <v>14</v>
      </c>
      <c r="H145" s="24" t="s">
        <v>8</v>
      </c>
      <c r="I145" s="26">
        <f t="shared" si="4"/>
        <v>9800</v>
      </c>
    </row>
    <row r="146" spans="2:9" x14ac:dyDescent="0.25">
      <c r="B146" s="24" t="s">
        <v>23</v>
      </c>
      <c r="C146" s="24" t="s">
        <v>27</v>
      </c>
      <c r="D146" s="25">
        <v>100</v>
      </c>
      <c r="E146" s="24">
        <v>120</v>
      </c>
      <c r="F146" s="24">
        <v>46</v>
      </c>
      <c r="G146" s="24" t="s">
        <v>14</v>
      </c>
      <c r="H146" s="24" t="s">
        <v>8</v>
      </c>
      <c r="I146" s="26">
        <f t="shared" si="4"/>
        <v>12000</v>
      </c>
    </row>
    <row r="147" spans="2:9" x14ac:dyDescent="0.25">
      <c r="B147" s="24" t="s">
        <v>23</v>
      </c>
      <c r="C147" s="24" t="s">
        <v>27</v>
      </c>
      <c r="D147" s="25">
        <v>100</v>
      </c>
      <c r="E147" s="24">
        <v>67</v>
      </c>
      <c r="F147" s="24">
        <v>48</v>
      </c>
      <c r="G147" s="24" t="s">
        <v>14</v>
      </c>
      <c r="H147" s="24" t="s">
        <v>8</v>
      </c>
      <c r="I147" s="26">
        <f t="shared" si="4"/>
        <v>6700</v>
      </c>
    </row>
    <row r="148" spans="2:9" x14ac:dyDescent="0.25">
      <c r="B148" s="24" t="s">
        <v>23</v>
      </c>
      <c r="C148" s="24" t="s">
        <v>27</v>
      </c>
      <c r="D148" s="25">
        <v>100</v>
      </c>
      <c r="E148" s="24">
        <v>64</v>
      </c>
      <c r="F148" s="24">
        <v>15</v>
      </c>
      <c r="G148" s="24" t="s">
        <v>13</v>
      </c>
      <c r="H148" s="24" t="s">
        <v>8</v>
      </c>
      <c r="I148" s="26">
        <f t="shared" si="4"/>
        <v>6400</v>
      </c>
    </row>
    <row r="149" spans="2:9" x14ac:dyDescent="0.25">
      <c r="B149" s="24" t="s">
        <v>23</v>
      </c>
      <c r="C149" s="24" t="s">
        <v>27</v>
      </c>
      <c r="D149" s="25">
        <v>100</v>
      </c>
      <c r="E149" s="24">
        <v>25</v>
      </c>
      <c r="F149" s="24">
        <v>3</v>
      </c>
      <c r="G149" s="24" t="s">
        <v>13</v>
      </c>
      <c r="H149" s="24" t="s">
        <v>8</v>
      </c>
      <c r="I149" s="26">
        <f t="shared" si="4"/>
        <v>2500</v>
      </c>
    </row>
    <row r="150" spans="2:9" x14ac:dyDescent="0.25">
      <c r="B150" s="24" t="s">
        <v>23</v>
      </c>
      <c r="C150" s="24" t="s">
        <v>27</v>
      </c>
      <c r="D150" s="25">
        <v>100</v>
      </c>
      <c r="E150" s="24">
        <v>87</v>
      </c>
      <c r="F150" s="24">
        <v>65</v>
      </c>
      <c r="G150" s="24" t="s">
        <v>13</v>
      </c>
      <c r="H150" s="24" t="s">
        <v>6</v>
      </c>
      <c r="I150" s="26">
        <f t="shared" si="4"/>
        <v>8700</v>
      </c>
    </row>
    <row r="151" spans="2:9" x14ac:dyDescent="0.25">
      <c r="B151" s="24" t="s">
        <v>23</v>
      </c>
      <c r="C151" s="24" t="s">
        <v>27</v>
      </c>
      <c r="D151" s="25">
        <v>100</v>
      </c>
      <c r="E151" s="24">
        <v>69</v>
      </c>
      <c r="F151" s="24">
        <v>45</v>
      </c>
      <c r="G151" s="24" t="s">
        <v>13</v>
      </c>
      <c r="H151" s="24" t="s">
        <v>6</v>
      </c>
      <c r="I151" s="26">
        <f t="shared" si="4"/>
        <v>6900</v>
      </c>
    </row>
    <row r="152" spans="2:9" x14ac:dyDescent="0.25">
      <c r="B152" s="24" t="s">
        <v>23</v>
      </c>
      <c r="C152" s="24" t="s">
        <v>27</v>
      </c>
      <c r="D152" s="25">
        <v>100</v>
      </c>
      <c r="E152" s="24">
        <v>75</v>
      </c>
      <c r="F152" s="24">
        <v>43</v>
      </c>
      <c r="G152" s="24" t="s">
        <v>13</v>
      </c>
      <c r="H152" s="24" t="s">
        <v>6</v>
      </c>
      <c r="I152" s="26">
        <f t="shared" si="4"/>
        <v>7500</v>
      </c>
    </row>
    <row r="153" spans="2:9" x14ac:dyDescent="0.25">
      <c r="B153" s="24" t="s">
        <v>23</v>
      </c>
      <c r="C153" s="24" t="s">
        <v>27</v>
      </c>
      <c r="D153" s="25">
        <v>100</v>
      </c>
      <c r="E153" s="24">
        <v>45</v>
      </c>
      <c r="F153" s="24">
        <v>28</v>
      </c>
      <c r="G153" s="24" t="s">
        <v>13</v>
      </c>
      <c r="H153" s="24" t="s">
        <v>6</v>
      </c>
      <c r="I153" s="26">
        <f t="shared" si="4"/>
        <v>4500</v>
      </c>
    </row>
    <row r="154" spans="2:9" x14ac:dyDescent="0.25">
      <c r="B154" s="24" t="s">
        <v>23</v>
      </c>
      <c r="C154" s="24" t="s">
        <v>27</v>
      </c>
      <c r="D154" s="25">
        <v>100</v>
      </c>
      <c r="E154" s="24">
        <v>112</v>
      </c>
      <c r="F154" s="24">
        <v>28</v>
      </c>
      <c r="G154" s="24" t="s">
        <v>13</v>
      </c>
      <c r="H154" s="24" t="s">
        <v>8</v>
      </c>
      <c r="I154" s="26">
        <f t="shared" si="4"/>
        <v>11200</v>
      </c>
    </row>
    <row r="155" spans="2:9" x14ac:dyDescent="0.25">
      <c r="B155" s="24" t="s">
        <v>23</v>
      </c>
      <c r="C155" s="24" t="s">
        <v>27</v>
      </c>
      <c r="D155" s="25">
        <v>100</v>
      </c>
      <c r="E155" s="24">
        <v>102</v>
      </c>
      <c r="F155" s="24">
        <v>25</v>
      </c>
      <c r="G155" s="24" t="s">
        <v>12</v>
      </c>
      <c r="H155" s="24" t="s">
        <v>8</v>
      </c>
      <c r="I155" s="26">
        <f t="shared" si="4"/>
        <v>10200</v>
      </c>
    </row>
    <row r="156" spans="2:9" x14ac:dyDescent="0.25">
      <c r="B156" s="24" t="s">
        <v>23</v>
      </c>
      <c r="C156" s="24" t="s">
        <v>27</v>
      </c>
      <c r="D156" s="25">
        <v>100</v>
      </c>
      <c r="E156" s="24">
        <v>69</v>
      </c>
      <c r="F156" s="24">
        <v>25</v>
      </c>
      <c r="G156" s="24" t="s">
        <v>12</v>
      </c>
      <c r="H156" s="24" t="s">
        <v>8</v>
      </c>
      <c r="I156" s="26">
        <f t="shared" si="4"/>
        <v>6900</v>
      </c>
    </row>
    <row r="157" spans="2:9" x14ac:dyDescent="0.25">
      <c r="B157" s="24" t="s">
        <v>23</v>
      </c>
      <c r="C157" s="24" t="s">
        <v>27</v>
      </c>
      <c r="D157" s="25">
        <v>100</v>
      </c>
      <c r="E157" s="24">
        <v>45</v>
      </c>
      <c r="F157" s="24">
        <v>47</v>
      </c>
      <c r="G157" s="24" t="s">
        <v>12</v>
      </c>
      <c r="H157" s="24" t="s">
        <v>6</v>
      </c>
      <c r="I157" s="26">
        <f t="shared" si="4"/>
        <v>4500</v>
      </c>
    </row>
    <row r="158" spans="2:9" x14ac:dyDescent="0.25">
      <c r="B158" s="24" t="s">
        <v>23</v>
      </c>
      <c r="C158" s="24" t="s">
        <v>27</v>
      </c>
      <c r="D158" s="25">
        <v>100</v>
      </c>
      <c r="E158" s="24">
        <v>75</v>
      </c>
      <c r="F158" s="24">
        <v>54</v>
      </c>
      <c r="G158" s="24" t="s">
        <v>12</v>
      </c>
      <c r="H158" s="24" t="s">
        <v>6</v>
      </c>
      <c r="I158" s="26">
        <f t="shared" si="4"/>
        <v>7500</v>
      </c>
    </row>
    <row r="159" spans="2:9" x14ac:dyDescent="0.25">
      <c r="B159" s="24" t="s">
        <v>23</v>
      </c>
      <c r="C159" s="24" t="s">
        <v>27</v>
      </c>
      <c r="D159" s="25">
        <v>100</v>
      </c>
      <c r="E159" s="24">
        <v>78</v>
      </c>
      <c r="F159" s="24">
        <v>69</v>
      </c>
      <c r="G159" s="24" t="s">
        <v>12</v>
      </c>
      <c r="H159" s="24" t="s">
        <v>6</v>
      </c>
      <c r="I159" s="26">
        <f t="shared" si="4"/>
        <v>7800</v>
      </c>
    </row>
    <row r="160" spans="2:9" x14ac:dyDescent="0.25">
      <c r="B160" s="24" t="s">
        <v>23</v>
      </c>
      <c r="C160" s="24" t="s">
        <v>27</v>
      </c>
      <c r="D160" s="25">
        <v>100</v>
      </c>
      <c r="E160" s="24">
        <v>67</v>
      </c>
      <c r="F160" s="24">
        <v>13</v>
      </c>
      <c r="G160" s="24" t="s">
        <v>12</v>
      </c>
      <c r="H160" s="24" t="s">
        <v>6</v>
      </c>
      <c r="I160" s="26">
        <f t="shared" ref="I160:I191" si="5">D160*E160</f>
        <v>6700</v>
      </c>
    </row>
    <row r="161" spans="2:9" x14ac:dyDescent="0.25">
      <c r="B161" s="24" t="s">
        <v>23</v>
      </c>
      <c r="C161" s="24" t="s">
        <v>27</v>
      </c>
      <c r="D161" s="25">
        <v>100</v>
      </c>
      <c r="E161" s="24">
        <v>54</v>
      </c>
      <c r="F161" s="24">
        <v>69</v>
      </c>
      <c r="G161" s="24" t="s">
        <v>7</v>
      </c>
      <c r="H161" s="24" t="s">
        <v>8</v>
      </c>
      <c r="I161" s="26">
        <f t="shared" si="5"/>
        <v>5400</v>
      </c>
    </row>
    <row r="162" spans="2:9" x14ac:dyDescent="0.25">
      <c r="B162" s="24" t="s">
        <v>23</v>
      </c>
      <c r="C162" s="24" t="s">
        <v>27</v>
      </c>
      <c r="D162" s="25">
        <v>100</v>
      </c>
      <c r="E162" s="24">
        <v>96</v>
      </c>
      <c r="F162" s="24">
        <v>25</v>
      </c>
      <c r="G162" s="24" t="s">
        <v>7</v>
      </c>
      <c r="H162" s="24" t="s">
        <v>6</v>
      </c>
      <c r="I162" s="26">
        <f t="shared" si="5"/>
        <v>9600</v>
      </c>
    </row>
    <row r="163" spans="2:9" x14ac:dyDescent="0.25">
      <c r="B163" s="24" t="s">
        <v>23</v>
      </c>
      <c r="C163" s="24" t="s">
        <v>27</v>
      </c>
      <c r="D163" s="25">
        <v>100</v>
      </c>
      <c r="E163" s="24">
        <v>78</v>
      </c>
      <c r="F163" s="24">
        <v>18</v>
      </c>
      <c r="G163" s="24" t="s">
        <v>7</v>
      </c>
      <c r="H163" s="24" t="s">
        <v>8</v>
      </c>
      <c r="I163" s="26">
        <f t="shared" si="5"/>
        <v>7800</v>
      </c>
    </row>
    <row r="164" spans="2:9" x14ac:dyDescent="0.25">
      <c r="B164" s="24" t="s">
        <v>23</v>
      </c>
      <c r="C164" s="24" t="s">
        <v>27</v>
      </c>
      <c r="D164" s="25">
        <v>100</v>
      </c>
      <c r="E164" s="24">
        <v>54</v>
      </c>
      <c r="F164" s="24">
        <v>18</v>
      </c>
      <c r="G164" s="24" t="s">
        <v>7</v>
      </c>
      <c r="H164" s="24" t="s">
        <v>8</v>
      </c>
      <c r="I164" s="26">
        <f t="shared" si="5"/>
        <v>5400</v>
      </c>
    </row>
    <row r="165" spans="2:9" x14ac:dyDescent="0.25">
      <c r="B165" s="24" t="s">
        <v>23</v>
      </c>
      <c r="C165" s="24" t="s">
        <v>27</v>
      </c>
      <c r="D165" s="25">
        <v>100</v>
      </c>
      <c r="E165" s="24">
        <v>54</v>
      </c>
      <c r="F165" s="24">
        <v>18</v>
      </c>
      <c r="G165" s="24" t="s">
        <v>7</v>
      </c>
      <c r="H165" s="24" t="s">
        <v>6</v>
      </c>
      <c r="I165" s="26">
        <f t="shared" si="5"/>
        <v>5400</v>
      </c>
    </row>
    <row r="166" spans="2:9" x14ac:dyDescent="0.25">
      <c r="B166" s="24" t="s">
        <v>23</v>
      </c>
      <c r="C166" s="24" t="s">
        <v>27</v>
      </c>
      <c r="D166" s="25">
        <v>100</v>
      </c>
      <c r="E166" s="24">
        <v>47</v>
      </c>
      <c r="F166" s="24">
        <v>16</v>
      </c>
      <c r="G166" s="24" t="s">
        <v>7</v>
      </c>
      <c r="H166" s="24" t="s">
        <v>6</v>
      </c>
      <c r="I166" s="26">
        <f t="shared" si="5"/>
        <v>4700</v>
      </c>
    </row>
    <row r="167" spans="2:9" x14ac:dyDescent="0.25">
      <c r="B167" s="24" t="s">
        <v>23</v>
      </c>
      <c r="C167" s="24" t="s">
        <v>27</v>
      </c>
      <c r="D167" s="25">
        <v>100</v>
      </c>
      <c r="E167" s="24">
        <v>47</v>
      </c>
      <c r="F167" s="24">
        <v>16</v>
      </c>
      <c r="G167" s="24" t="s">
        <v>15</v>
      </c>
      <c r="H167" s="24" t="s">
        <v>6</v>
      </c>
      <c r="I167" s="26">
        <f t="shared" si="5"/>
        <v>4700</v>
      </c>
    </row>
    <row r="168" spans="2:9" x14ac:dyDescent="0.25">
      <c r="B168" s="24" t="s">
        <v>4</v>
      </c>
      <c r="C168" s="24" t="s">
        <v>27</v>
      </c>
      <c r="D168" s="25">
        <v>100</v>
      </c>
      <c r="E168" s="24">
        <v>54</v>
      </c>
      <c r="F168" s="24">
        <v>15</v>
      </c>
      <c r="G168" s="24" t="s">
        <v>17</v>
      </c>
      <c r="H168" s="24" t="s">
        <v>8</v>
      </c>
      <c r="I168" s="26">
        <f t="shared" si="5"/>
        <v>5400</v>
      </c>
    </row>
    <row r="169" spans="2:9" x14ac:dyDescent="0.25">
      <c r="B169" s="24" t="s">
        <v>4</v>
      </c>
      <c r="C169" s="24" t="s">
        <v>27</v>
      </c>
      <c r="D169" s="25">
        <v>100</v>
      </c>
      <c r="E169" s="24">
        <v>54</v>
      </c>
      <c r="F169" s="24">
        <v>15</v>
      </c>
      <c r="G169" s="24" t="s">
        <v>17</v>
      </c>
      <c r="H169" s="24" t="s">
        <v>8</v>
      </c>
      <c r="I169" s="26">
        <f t="shared" si="5"/>
        <v>5400</v>
      </c>
    </row>
    <row r="170" spans="2:9" x14ac:dyDescent="0.25">
      <c r="B170" s="24" t="s">
        <v>4</v>
      </c>
      <c r="C170" s="24" t="s">
        <v>27</v>
      </c>
      <c r="D170" s="25">
        <v>100</v>
      </c>
      <c r="E170" s="24">
        <v>54</v>
      </c>
      <c r="F170" s="24">
        <v>15</v>
      </c>
      <c r="G170" s="24" t="s">
        <v>17</v>
      </c>
      <c r="H170" s="24" t="s">
        <v>6</v>
      </c>
      <c r="I170" s="26">
        <f t="shared" si="5"/>
        <v>5400</v>
      </c>
    </row>
    <row r="171" spans="2:9" x14ac:dyDescent="0.25">
      <c r="B171" s="24" t="s">
        <v>24</v>
      </c>
      <c r="C171" s="24" t="s">
        <v>27</v>
      </c>
      <c r="D171" s="25">
        <v>100</v>
      </c>
      <c r="E171" s="24">
        <v>54</v>
      </c>
      <c r="F171" s="24">
        <v>23</v>
      </c>
      <c r="G171" s="24" t="s">
        <v>17</v>
      </c>
      <c r="H171" s="24" t="s">
        <v>6</v>
      </c>
      <c r="I171" s="26">
        <f t="shared" si="5"/>
        <v>5400</v>
      </c>
    </row>
    <row r="172" spans="2:9" x14ac:dyDescent="0.25">
      <c r="B172" s="24" t="s">
        <v>23</v>
      </c>
      <c r="C172" s="24" t="s">
        <v>27</v>
      </c>
      <c r="D172" s="25">
        <v>100</v>
      </c>
      <c r="E172" s="24">
        <v>54</v>
      </c>
      <c r="F172" s="24">
        <v>23</v>
      </c>
      <c r="G172" s="24" t="s">
        <v>17</v>
      </c>
      <c r="H172" s="24" t="s">
        <v>6</v>
      </c>
      <c r="I172" s="26">
        <f t="shared" si="5"/>
        <v>5400</v>
      </c>
    </row>
    <row r="173" spans="2:9" x14ac:dyDescent="0.25">
      <c r="B173" s="24" t="s">
        <v>23</v>
      </c>
      <c r="C173" s="24" t="s">
        <v>27</v>
      </c>
      <c r="D173" s="25">
        <v>150</v>
      </c>
      <c r="E173" s="24">
        <v>66</v>
      </c>
      <c r="F173" s="24">
        <v>23</v>
      </c>
      <c r="G173" s="24" t="s">
        <v>22</v>
      </c>
      <c r="H173" s="24" t="s">
        <v>8</v>
      </c>
      <c r="I173" s="26">
        <f t="shared" si="5"/>
        <v>9900</v>
      </c>
    </row>
    <row r="174" spans="2:9" x14ac:dyDescent="0.25">
      <c r="B174" s="24" t="s">
        <v>24</v>
      </c>
      <c r="C174" s="24" t="s">
        <v>27</v>
      </c>
      <c r="D174" s="25">
        <v>100</v>
      </c>
      <c r="E174" s="24">
        <v>66</v>
      </c>
      <c r="F174" s="24">
        <v>23</v>
      </c>
      <c r="G174" s="24" t="s">
        <v>22</v>
      </c>
      <c r="H174" s="24" t="s">
        <v>6</v>
      </c>
      <c r="I174" s="26">
        <f t="shared" si="5"/>
        <v>6600</v>
      </c>
    </row>
    <row r="175" spans="2:9" x14ac:dyDescent="0.25">
      <c r="B175" s="24" t="s">
        <v>23</v>
      </c>
      <c r="C175" s="24" t="s">
        <v>27</v>
      </c>
      <c r="D175" s="25">
        <v>35</v>
      </c>
      <c r="E175" s="24">
        <v>66</v>
      </c>
      <c r="F175" s="24">
        <v>23</v>
      </c>
      <c r="G175" s="24" t="s">
        <v>22</v>
      </c>
      <c r="H175" s="24" t="s">
        <v>6</v>
      </c>
      <c r="I175" s="26">
        <f t="shared" si="5"/>
        <v>2310</v>
      </c>
    </row>
    <row r="176" spans="2:9" x14ac:dyDescent="0.25">
      <c r="B176" s="24" t="s">
        <v>11</v>
      </c>
      <c r="C176" s="24" t="s">
        <v>27</v>
      </c>
      <c r="D176" s="25">
        <v>35</v>
      </c>
      <c r="E176" s="24">
        <v>66</v>
      </c>
      <c r="F176" s="24">
        <v>23</v>
      </c>
      <c r="G176" s="24" t="s">
        <v>22</v>
      </c>
      <c r="H176" s="24" t="s">
        <v>6</v>
      </c>
      <c r="I176" s="26">
        <f t="shared" si="5"/>
        <v>2310</v>
      </c>
    </row>
    <row r="177" spans="2:9" x14ac:dyDescent="0.25">
      <c r="B177" s="24" t="s">
        <v>4</v>
      </c>
      <c r="C177" s="24" t="s">
        <v>27</v>
      </c>
      <c r="D177" s="25">
        <v>35</v>
      </c>
      <c r="E177" s="24">
        <v>8</v>
      </c>
      <c r="F177" s="24">
        <v>7</v>
      </c>
      <c r="G177" s="24" t="s">
        <v>21</v>
      </c>
      <c r="H177" s="24" t="s">
        <v>8</v>
      </c>
      <c r="I177" s="26">
        <f t="shared" si="5"/>
        <v>280</v>
      </c>
    </row>
    <row r="178" spans="2:9" x14ac:dyDescent="0.25">
      <c r="B178" s="24" t="s">
        <v>11</v>
      </c>
      <c r="C178" s="24" t="s">
        <v>27</v>
      </c>
      <c r="D178" s="25">
        <v>35</v>
      </c>
      <c r="E178" s="24">
        <v>8</v>
      </c>
      <c r="F178" s="24">
        <v>7</v>
      </c>
      <c r="G178" s="24" t="s">
        <v>21</v>
      </c>
      <c r="H178" s="24" t="s">
        <v>8</v>
      </c>
      <c r="I178" s="26">
        <f t="shared" si="5"/>
        <v>280</v>
      </c>
    </row>
    <row r="179" spans="2:9" x14ac:dyDescent="0.25">
      <c r="B179" s="24" t="s">
        <v>11</v>
      </c>
      <c r="C179" s="24" t="s">
        <v>27</v>
      </c>
      <c r="D179" s="25">
        <v>35</v>
      </c>
      <c r="E179" s="24">
        <v>8</v>
      </c>
      <c r="F179" s="24">
        <v>7</v>
      </c>
      <c r="G179" s="24" t="s">
        <v>21</v>
      </c>
      <c r="H179" s="24" t="s">
        <v>8</v>
      </c>
      <c r="I179" s="26">
        <f t="shared" si="5"/>
        <v>280</v>
      </c>
    </row>
    <row r="180" spans="2:9" x14ac:dyDescent="0.25">
      <c r="B180" s="24" t="s">
        <v>11</v>
      </c>
      <c r="C180" s="24" t="s">
        <v>27</v>
      </c>
      <c r="D180" s="25">
        <v>35</v>
      </c>
      <c r="E180" s="24">
        <v>8</v>
      </c>
      <c r="F180" s="24">
        <v>7</v>
      </c>
      <c r="G180" s="24" t="s">
        <v>21</v>
      </c>
      <c r="H180" s="24" t="s">
        <v>8</v>
      </c>
      <c r="I180" s="26">
        <f t="shared" si="5"/>
        <v>280</v>
      </c>
    </row>
    <row r="181" spans="2:9" x14ac:dyDescent="0.25">
      <c r="B181" s="24" t="s">
        <v>11</v>
      </c>
      <c r="C181" s="24" t="s">
        <v>27</v>
      </c>
      <c r="D181" s="25">
        <v>35</v>
      </c>
      <c r="E181" s="24">
        <v>32</v>
      </c>
      <c r="F181" s="24">
        <v>12</v>
      </c>
      <c r="G181" s="24" t="s">
        <v>15</v>
      </c>
      <c r="H181" s="24" t="s">
        <v>6</v>
      </c>
      <c r="I181" s="26">
        <f t="shared" si="5"/>
        <v>1120</v>
      </c>
    </row>
    <row r="182" spans="2:9" x14ac:dyDescent="0.25">
      <c r="B182" s="5" t="s">
        <v>11</v>
      </c>
      <c r="C182" s="5" t="s">
        <v>27</v>
      </c>
      <c r="D182" s="11">
        <v>35</v>
      </c>
      <c r="E182" s="5">
        <v>31</v>
      </c>
      <c r="F182" s="5">
        <v>120</v>
      </c>
      <c r="G182" s="6" t="s">
        <v>7</v>
      </c>
      <c r="H182" s="7" t="s">
        <v>6</v>
      </c>
      <c r="I182" s="12">
        <f t="shared" si="5"/>
        <v>1085</v>
      </c>
    </row>
    <row r="183" spans="2:9" x14ac:dyDescent="0.25">
      <c r="B183" s="5" t="s">
        <v>11</v>
      </c>
      <c r="C183" s="5" t="s">
        <v>27</v>
      </c>
      <c r="D183" s="11">
        <v>35</v>
      </c>
      <c r="E183" s="5">
        <v>58</v>
      </c>
      <c r="F183" s="5">
        <v>109</v>
      </c>
      <c r="G183" s="5" t="s">
        <v>7</v>
      </c>
      <c r="H183" s="7" t="s">
        <v>8</v>
      </c>
      <c r="I183" s="12">
        <f t="shared" si="5"/>
        <v>2030</v>
      </c>
    </row>
    <row r="184" spans="2:9" x14ac:dyDescent="0.25">
      <c r="B184" s="5" t="s">
        <v>11</v>
      </c>
      <c r="C184" s="5" t="s">
        <v>27</v>
      </c>
      <c r="D184" s="11">
        <v>35</v>
      </c>
      <c r="E184" s="5">
        <v>67</v>
      </c>
      <c r="F184" s="5">
        <v>178</v>
      </c>
      <c r="G184" s="5" t="s">
        <v>12</v>
      </c>
      <c r="H184" s="7" t="s">
        <v>6</v>
      </c>
      <c r="I184" s="12">
        <f t="shared" si="5"/>
        <v>2345</v>
      </c>
    </row>
    <row r="185" spans="2:9" x14ac:dyDescent="0.25">
      <c r="B185" s="5" t="s">
        <v>11</v>
      </c>
      <c r="C185" s="5" t="s">
        <v>27</v>
      </c>
      <c r="D185" s="11">
        <v>35</v>
      </c>
      <c r="E185" s="5">
        <v>89</v>
      </c>
      <c r="F185" s="5">
        <v>123</v>
      </c>
      <c r="G185" s="5" t="s">
        <v>12</v>
      </c>
      <c r="H185" s="7" t="s">
        <v>8</v>
      </c>
      <c r="I185" s="12">
        <f t="shared" si="5"/>
        <v>3115</v>
      </c>
    </row>
    <row r="186" spans="2:9" x14ac:dyDescent="0.25">
      <c r="B186" s="5" t="s">
        <v>11</v>
      </c>
      <c r="C186" s="5" t="s">
        <v>27</v>
      </c>
      <c r="D186" s="11">
        <v>35</v>
      </c>
      <c r="E186" s="5">
        <v>35</v>
      </c>
      <c r="F186" s="5">
        <v>212</v>
      </c>
      <c r="G186" s="5" t="s">
        <v>13</v>
      </c>
      <c r="H186" s="7" t="s">
        <v>6</v>
      </c>
      <c r="I186" s="12">
        <f t="shared" si="5"/>
        <v>1225</v>
      </c>
    </row>
    <row r="187" spans="2:9" x14ac:dyDescent="0.25">
      <c r="B187" s="5" t="s">
        <v>11</v>
      </c>
      <c r="C187" s="5" t="s">
        <v>27</v>
      </c>
      <c r="D187" s="11">
        <v>35</v>
      </c>
      <c r="E187" s="5">
        <v>99</v>
      </c>
      <c r="F187" s="5">
        <v>187</v>
      </c>
      <c r="G187" s="5" t="s">
        <v>13</v>
      </c>
      <c r="H187" s="7" t="s">
        <v>8</v>
      </c>
      <c r="I187" s="12">
        <f t="shared" si="5"/>
        <v>3465</v>
      </c>
    </row>
    <row r="188" spans="2:9" x14ac:dyDescent="0.25">
      <c r="B188" s="5" t="s">
        <v>11</v>
      </c>
      <c r="C188" s="5" t="s">
        <v>27</v>
      </c>
      <c r="D188" s="11">
        <v>35</v>
      </c>
      <c r="E188" s="5">
        <v>40</v>
      </c>
      <c r="F188" s="5">
        <v>177</v>
      </c>
      <c r="G188" s="5" t="s">
        <v>14</v>
      </c>
      <c r="H188" s="7" t="s">
        <v>6</v>
      </c>
      <c r="I188" s="12">
        <f t="shared" si="5"/>
        <v>1400</v>
      </c>
    </row>
    <row r="189" spans="2:9" x14ac:dyDescent="0.25">
      <c r="B189" s="5" t="s">
        <v>11</v>
      </c>
      <c r="C189" s="5" t="s">
        <v>27</v>
      </c>
      <c r="D189" s="11">
        <v>35</v>
      </c>
      <c r="E189" s="5">
        <v>37</v>
      </c>
      <c r="F189" s="5">
        <v>167</v>
      </c>
      <c r="G189" s="5" t="s">
        <v>14</v>
      </c>
      <c r="H189" s="7" t="s">
        <v>8</v>
      </c>
      <c r="I189" s="12">
        <f t="shared" si="5"/>
        <v>1295</v>
      </c>
    </row>
    <row r="190" spans="2:9" x14ac:dyDescent="0.25">
      <c r="B190" s="5" t="s">
        <v>11</v>
      </c>
      <c r="C190" s="5" t="s">
        <v>27</v>
      </c>
      <c r="D190" s="11">
        <v>35</v>
      </c>
      <c r="E190" s="5">
        <v>29</v>
      </c>
      <c r="F190" s="5">
        <v>156</v>
      </c>
      <c r="G190" s="5" t="s">
        <v>15</v>
      </c>
      <c r="H190" s="7" t="s">
        <v>6</v>
      </c>
      <c r="I190" s="12">
        <f t="shared" si="5"/>
        <v>1015</v>
      </c>
    </row>
    <row r="191" spans="2:9" x14ac:dyDescent="0.25">
      <c r="B191" s="5" t="s">
        <v>11</v>
      </c>
      <c r="C191" s="5" t="s">
        <v>27</v>
      </c>
      <c r="D191" s="11">
        <v>35</v>
      </c>
      <c r="E191" s="5">
        <v>48</v>
      </c>
      <c r="F191" s="5">
        <v>175</v>
      </c>
      <c r="G191" s="5" t="s">
        <v>15</v>
      </c>
      <c r="H191" s="7" t="s">
        <v>8</v>
      </c>
      <c r="I191" s="12">
        <f t="shared" si="5"/>
        <v>1680</v>
      </c>
    </row>
    <row r="192" spans="2:9" x14ac:dyDescent="0.25">
      <c r="B192" s="5" t="s">
        <v>11</v>
      </c>
      <c r="C192" s="5" t="s">
        <v>27</v>
      </c>
      <c r="D192" s="11">
        <v>35</v>
      </c>
      <c r="E192" s="5">
        <v>78</v>
      </c>
      <c r="F192" s="5">
        <v>145</v>
      </c>
      <c r="G192" s="5" t="s">
        <v>16</v>
      </c>
      <c r="H192" s="7" t="s">
        <v>6</v>
      </c>
      <c r="I192" s="12">
        <f t="shared" ref="I192:I223" si="6">D192*E192</f>
        <v>2730</v>
      </c>
    </row>
    <row r="193" spans="2:9" x14ac:dyDescent="0.25">
      <c r="B193" s="5" t="s">
        <v>11</v>
      </c>
      <c r="C193" s="5" t="s">
        <v>27</v>
      </c>
      <c r="D193" s="11">
        <v>35</v>
      </c>
      <c r="E193" s="5">
        <v>23</v>
      </c>
      <c r="F193" s="5">
        <v>172</v>
      </c>
      <c r="G193" s="5" t="s">
        <v>16</v>
      </c>
      <c r="H193" s="7" t="s">
        <v>8</v>
      </c>
      <c r="I193" s="12">
        <f t="shared" si="6"/>
        <v>805</v>
      </c>
    </row>
    <row r="194" spans="2:9" x14ac:dyDescent="0.25">
      <c r="B194" s="5" t="s">
        <v>11</v>
      </c>
      <c r="C194" s="5" t="s">
        <v>27</v>
      </c>
      <c r="D194" s="11">
        <v>35</v>
      </c>
      <c r="E194" s="5">
        <v>42</v>
      </c>
      <c r="F194" s="5">
        <v>125</v>
      </c>
      <c r="G194" s="5" t="s">
        <v>17</v>
      </c>
      <c r="H194" s="7" t="s">
        <v>6</v>
      </c>
      <c r="I194" s="12">
        <f t="shared" si="6"/>
        <v>1470</v>
      </c>
    </row>
    <row r="195" spans="2:9" x14ac:dyDescent="0.25">
      <c r="B195" s="5" t="s">
        <v>11</v>
      </c>
      <c r="C195" s="5" t="s">
        <v>27</v>
      </c>
      <c r="D195" s="11">
        <v>35</v>
      </c>
      <c r="E195" s="5">
        <v>57</v>
      </c>
      <c r="F195" s="5">
        <v>135</v>
      </c>
      <c r="G195" s="5" t="s">
        <v>17</v>
      </c>
      <c r="H195" s="7" t="s">
        <v>8</v>
      </c>
      <c r="I195" s="12">
        <f t="shared" si="6"/>
        <v>1995</v>
      </c>
    </row>
    <row r="196" spans="2:9" x14ac:dyDescent="0.25">
      <c r="B196" s="5" t="s">
        <v>11</v>
      </c>
      <c r="C196" s="5" t="s">
        <v>27</v>
      </c>
      <c r="D196" s="11">
        <v>35</v>
      </c>
      <c r="E196" s="5">
        <v>98</v>
      </c>
      <c r="F196" s="5">
        <v>147</v>
      </c>
      <c r="G196" s="5" t="s">
        <v>18</v>
      </c>
      <c r="H196" s="7" t="s">
        <v>6</v>
      </c>
      <c r="I196" s="12">
        <f t="shared" si="6"/>
        <v>3430</v>
      </c>
    </row>
    <row r="197" spans="2:9" x14ac:dyDescent="0.25">
      <c r="B197" s="5" t="s">
        <v>11</v>
      </c>
      <c r="C197" s="5" t="s">
        <v>27</v>
      </c>
      <c r="D197" s="11">
        <v>35</v>
      </c>
      <c r="E197" s="5">
        <v>67</v>
      </c>
      <c r="F197" s="5">
        <v>157</v>
      </c>
      <c r="G197" s="5" t="s">
        <v>18</v>
      </c>
      <c r="H197" s="7" t="s">
        <v>8</v>
      </c>
      <c r="I197" s="12">
        <f t="shared" si="6"/>
        <v>2345</v>
      </c>
    </row>
    <row r="198" spans="2:9" x14ac:dyDescent="0.25">
      <c r="B198" s="5" t="s">
        <v>11</v>
      </c>
      <c r="C198" s="5" t="s">
        <v>27</v>
      </c>
      <c r="D198" s="11">
        <v>35</v>
      </c>
      <c r="E198" s="5">
        <v>55</v>
      </c>
      <c r="F198" s="5">
        <v>146</v>
      </c>
      <c r="G198" s="5" t="s">
        <v>19</v>
      </c>
      <c r="H198" s="7" t="s">
        <v>6</v>
      </c>
      <c r="I198" s="12">
        <f t="shared" si="6"/>
        <v>1925</v>
      </c>
    </row>
    <row r="199" spans="2:9" x14ac:dyDescent="0.25">
      <c r="B199" s="5" t="s">
        <v>11</v>
      </c>
      <c r="C199" s="5" t="s">
        <v>27</v>
      </c>
      <c r="D199" s="11">
        <v>35</v>
      </c>
      <c r="E199" s="5">
        <v>45</v>
      </c>
      <c r="F199" s="5">
        <v>134</v>
      </c>
      <c r="G199" s="5" t="s">
        <v>19</v>
      </c>
      <c r="H199" s="7" t="s">
        <v>6</v>
      </c>
      <c r="I199" s="12">
        <f t="shared" si="6"/>
        <v>1575</v>
      </c>
    </row>
    <row r="200" spans="2:9" x14ac:dyDescent="0.25">
      <c r="B200" s="5" t="s">
        <v>11</v>
      </c>
      <c r="C200" s="5" t="s">
        <v>27</v>
      </c>
      <c r="D200" s="11">
        <v>35</v>
      </c>
      <c r="E200" s="5">
        <v>45</v>
      </c>
      <c r="F200" s="5">
        <v>173</v>
      </c>
      <c r="G200" s="5" t="s">
        <v>20</v>
      </c>
      <c r="H200" s="7" t="s">
        <v>8</v>
      </c>
      <c r="I200" s="12">
        <f t="shared" si="6"/>
        <v>1575</v>
      </c>
    </row>
    <row r="201" spans="2:9" x14ac:dyDescent="0.25">
      <c r="B201" s="5" t="s">
        <v>11</v>
      </c>
      <c r="C201" s="5" t="s">
        <v>27</v>
      </c>
      <c r="D201" s="11">
        <v>35</v>
      </c>
      <c r="E201" s="5">
        <v>34</v>
      </c>
      <c r="F201" s="5">
        <v>193</v>
      </c>
      <c r="G201" s="5" t="s">
        <v>20</v>
      </c>
      <c r="H201" s="7" t="s">
        <v>6</v>
      </c>
      <c r="I201" s="12">
        <f t="shared" si="6"/>
        <v>1190</v>
      </c>
    </row>
    <row r="202" spans="2:9" x14ac:dyDescent="0.25">
      <c r="B202" s="5" t="s">
        <v>11</v>
      </c>
      <c r="C202" s="5" t="s">
        <v>27</v>
      </c>
      <c r="D202" s="11">
        <v>35</v>
      </c>
      <c r="E202" s="5">
        <v>29</v>
      </c>
      <c r="F202" s="5">
        <v>135</v>
      </c>
      <c r="G202" s="5" t="s">
        <v>21</v>
      </c>
      <c r="H202" s="7" t="s">
        <v>8</v>
      </c>
      <c r="I202" s="12">
        <f t="shared" si="6"/>
        <v>1015</v>
      </c>
    </row>
    <row r="203" spans="2:9" x14ac:dyDescent="0.25">
      <c r="B203" s="5" t="s">
        <v>11</v>
      </c>
      <c r="C203" s="5" t="s">
        <v>27</v>
      </c>
      <c r="D203" s="11">
        <v>35</v>
      </c>
      <c r="E203" s="5">
        <v>24</v>
      </c>
      <c r="F203" s="5">
        <v>156</v>
      </c>
      <c r="G203" s="5" t="s">
        <v>21</v>
      </c>
      <c r="H203" s="7" t="s">
        <v>6</v>
      </c>
      <c r="I203" s="12">
        <f t="shared" si="6"/>
        <v>840</v>
      </c>
    </row>
    <row r="204" spans="2:9" x14ac:dyDescent="0.25">
      <c r="B204" s="5" t="s">
        <v>11</v>
      </c>
      <c r="C204" s="5" t="s">
        <v>27</v>
      </c>
      <c r="D204" s="11">
        <v>35</v>
      </c>
      <c r="E204" s="5">
        <v>48</v>
      </c>
      <c r="F204" s="5">
        <v>153</v>
      </c>
      <c r="G204" s="5" t="s">
        <v>22</v>
      </c>
      <c r="H204" s="7" t="s">
        <v>8</v>
      </c>
      <c r="I204" s="12">
        <f t="shared" si="6"/>
        <v>1680</v>
      </c>
    </row>
    <row r="205" spans="2:9" x14ac:dyDescent="0.25">
      <c r="B205" s="5" t="s">
        <v>11</v>
      </c>
      <c r="C205" s="5" t="s">
        <v>27</v>
      </c>
      <c r="D205" s="11">
        <v>35</v>
      </c>
      <c r="E205" s="5">
        <v>89</v>
      </c>
      <c r="F205" s="5">
        <v>158</v>
      </c>
      <c r="G205" s="5" t="s">
        <v>22</v>
      </c>
      <c r="H205" s="7" t="s">
        <v>6</v>
      </c>
      <c r="I205" s="12">
        <f t="shared" si="6"/>
        <v>3115</v>
      </c>
    </row>
    <row r="206" spans="2:9" x14ac:dyDescent="0.25">
      <c r="B206" s="5" t="s">
        <v>4</v>
      </c>
      <c r="C206" s="5" t="s">
        <v>27</v>
      </c>
      <c r="D206" s="11">
        <v>60</v>
      </c>
      <c r="E206" s="5">
        <v>31</v>
      </c>
      <c r="F206" s="5">
        <v>12</v>
      </c>
      <c r="G206" s="6" t="s">
        <v>7</v>
      </c>
      <c r="H206" s="7" t="s">
        <v>6</v>
      </c>
      <c r="I206" s="12">
        <f t="shared" si="6"/>
        <v>1860</v>
      </c>
    </row>
    <row r="207" spans="2:9" x14ac:dyDescent="0.25">
      <c r="B207" s="5" t="s">
        <v>4</v>
      </c>
      <c r="C207" s="5" t="s">
        <v>27</v>
      </c>
      <c r="D207" s="11">
        <v>60</v>
      </c>
      <c r="E207" s="5">
        <v>48</v>
      </c>
      <c r="F207" s="5">
        <v>19</v>
      </c>
      <c r="G207" s="5" t="s">
        <v>7</v>
      </c>
      <c r="H207" s="7" t="s">
        <v>8</v>
      </c>
      <c r="I207" s="12">
        <f t="shared" si="6"/>
        <v>2880</v>
      </c>
    </row>
    <row r="208" spans="2:9" x14ac:dyDescent="0.25">
      <c r="B208" s="5" t="s">
        <v>4</v>
      </c>
      <c r="C208" s="5" t="s">
        <v>27</v>
      </c>
      <c r="D208" s="11">
        <v>60</v>
      </c>
      <c r="E208" s="5">
        <v>30</v>
      </c>
      <c r="F208" s="5">
        <v>18</v>
      </c>
      <c r="G208" s="5" t="s">
        <v>12</v>
      </c>
      <c r="H208" s="7" t="s">
        <v>6</v>
      </c>
      <c r="I208" s="12">
        <f t="shared" si="6"/>
        <v>1800</v>
      </c>
    </row>
    <row r="209" spans="2:9" x14ac:dyDescent="0.25">
      <c r="B209" s="5" t="s">
        <v>4</v>
      </c>
      <c r="C209" s="5" t="s">
        <v>27</v>
      </c>
      <c r="D209" s="11">
        <v>60</v>
      </c>
      <c r="E209" s="5">
        <v>34</v>
      </c>
      <c r="F209" s="5">
        <v>23</v>
      </c>
      <c r="G209" s="5" t="s">
        <v>12</v>
      </c>
      <c r="H209" s="7" t="s">
        <v>8</v>
      </c>
      <c r="I209" s="12">
        <f t="shared" si="6"/>
        <v>2040</v>
      </c>
    </row>
    <row r="210" spans="2:9" x14ac:dyDescent="0.25">
      <c r="B210" s="5" t="s">
        <v>4</v>
      </c>
      <c r="C210" s="5" t="s">
        <v>27</v>
      </c>
      <c r="D210" s="11">
        <v>60</v>
      </c>
      <c r="E210" s="5">
        <v>23</v>
      </c>
      <c r="F210" s="5">
        <v>12</v>
      </c>
      <c r="G210" s="5" t="s">
        <v>13</v>
      </c>
      <c r="H210" s="7" t="s">
        <v>6</v>
      </c>
      <c r="I210" s="12">
        <f t="shared" si="6"/>
        <v>1380</v>
      </c>
    </row>
    <row r="211" spans="2:9" x14ac:dyDescent="0.25">
      <c r="B211" s="5" t="s">
        <v>4</v>
      </c>
      <c r="C211" s="5" t="s">
        <v>27</v>
      </c>
      <c r="D211" s="11">
        <v>60</v>
      </c>
      <c r="E211" s="5">
        <v>35</v>
      </c>
      <c r="F211" s="5">
        <v>17</v>
      </c>
      <c r="G211" s="5" t="s">
        <v>13</v>
      </c>
      <c r="H211" s="7" t="s">
        <v>8</v>
      </c>
      <c r="I211" s="12">
        <f t="shared" si="6"/>
        <v>2100</v>
      </c>
    </row>
    <row r="212" spans="2:9" x14ac:dyDescent="0.25">
      <c r="B212" s="5" t="s">
        <v>4</v>
      </c>
      <c r="C212" s="5" t="s">
        <v>27</v>
      </c>
      <c r="D212" s="11">
        <v>60</v>
      </c>
      <c r="E212" s="5">
        <v>34</v>
      </c>
      <c r="F212" s="5">
        <v>17</v>
      </c>
      <c r="G212" s="5" t="s">
        <v>14</v>
      </c>
      <c r="H212" s="7" t="s">
        <v>6</v>
      </c>
      <c r="I212" s="12">
        <f t="shared" si="6"/>
        <v>2040</v>
      </c>
    </row>
    <row r="213" spans="2:9" x14ac:dyDescent="0.25">
      <c r="B213" s="5" t="s">
        <v>4</v>
      </c>
      <c r="C213" s="5" t="s">
        <v>27</v>
      </c>
      <c r="D213" s="11">
        <v>60</v>
      </c>
      <c r="E213" s="5">
        <v>27</v>
      </c>
      <c r="F213" s="5">
        <v>38</v>
      </c>
      <c r="G213" s="5" t="s">
        <v>14</v>
      </c>
      <c r="H213" s="7" t="s">
        <v>8</v>
      </c>
      <c r="I213" s="12">
        <f t="shared" si="6"/>
        <v>1620</v>
      </c>
    </row>
    <row r="214" spans="2:9" x14ac:dyDescent="0.25">
      <c r="B214" s="5" t="s">
        <v>4</v>
      </c>
      <c r="C214" s="5" t="s">
        <v>27</v>
      </c>
      <c r="D214" s="11">
        <v>60</v>
      </c>
      <c r="E214" s="5">
        <v>37</v>
      </c>
      <c r="F214" s="5">
        <v>56</v>
      </c>
      <c r="G214" s="5" t="s">
        <v>15</v>
      </c>
      <c r="H214" s="7" t="s">
        <v>6</v>
      </c>
      <c r="I214" s="12">
        <f t="shared" si="6"/>
        <v>2220</v>
      </c>
    </row>
    <row r="215" spans="2:9" x14ac:dyDescent="0.25">
      <c r="B215" s="5" t="s">
        <v>4</v>
      </c>
      <c r="C215" s="5" t="s">
        <v>27</v>
      </c>
      <c r="D215" s="11">
        <v>60</v>
      </c>
      <c r="E215" s="5">
        <v>48</v>
      </c>
      <c r="F215" s="5">
        <v>15</v>
      </c>
      <c r="G215" s="5" t="s">
        <v>15</v>
      </c>
      <c r="H215" s="7" t="s">
        <v>8</v>
      </c>
      <c r="I215" s="12">
        <f t="shared" si="6"/>
        <v>2880</v>
      </c>
    </row>
    <row r="216" spans="2:9" x14ac:dyDescent="0.25">
      <c r="B216" s="5" t="s">
        <v>4</v>
      </c>
      <c r="C216" s="5" t="s">
        <v>27</v>
      </c>
      <c r="D216" s="11">
        <v>60</v>
      </c>
      <c r="E216" s="5">
        <v>36</v>
      </c>
      <c r="F216" s="5">
        <v>15</v>
      </c>
      <c r="G216" s="5" t="s">
        <v>16</v>
      </c>
      <c r="H216" s="7" t="s">
        <v>6</v>
      </c>
      <c r="I216" s="12">
        <f t="shared" si="6"/>
        <v>2160</v>
      </c>
    </row>
    <row r="217" spans="2:9" x14ac:dyDescent="0.25">
      <c r="B217" s="5" t="s">
        <v>4</v>
      </c>
      <c r="C217" s="5" t="s">
        <v>27</v>
      </c>
      <c r="D217" s="11">
        <v>60</v>
      </c>
      <c r="E217" s="5">
        <v>27</v>
      </c>
      <c r="F217" s="5">
        <v>12</v>
      </c>
      <c r="G217" s="5" t="s">
        <v>16</v>
      </c>
      <c r="H217" s="7" t="s">
        <v>8</v>
      </c>
      <c r="I217" s="12">
        <f t="shared" si="6"/>
        <v>1620</v>
      </c>
    </row>
    <row r="218" spans="2:9" x14ac:dyDescent="0.25">
      <c r="B218" s="5" t="s">
        <v>4</v>
      </c>
      <c r="C218" s="5" t="s">
        <v>27</v>
      </c>
      <c r="D218" s="11">
        <v>60</v>
      </c>
      <c r="E218" s="5">
        <v>35</v>
      </c>
      <c r="F218" s="5">
        <v>25</v>
      </c>
      <c r="G218" s="5" t="s">
        <v>17</v>
      </c>
      <c r="H218" s="7" t="s">
        <v>6</v>
      </c>
      <c r="I218" s="12">
        <f t="shared" si="6"/>
        <v>2100</v>
      </c>
    </row>
    <row r="219" spans="2:9" x14ac:dyDescent="0.25">
      <c r="B219" s="5" t="s">
        <v>4</v>
      </c>
      <c r="C219" s="5" t="s">
        <v>27</v>
      </c>
      <c r="D219" s="11">
        <v>60</v>
      </c>
      <c r="E219" s="5">
        <v>38</v>
      </c>
      <c r="F219" s="5">
        <v>35</v>
      </c>
      <c r="G219" s="5" t="s">
        <v>17</v>
      </c>
      <c r="H219" s="7" t="s">
        <v>8</v>
      </c>
      <c r="I219" s="12">
        <f t="shared" si="6"/>
        <v>2280</v>
      </c>
    </row>
    <row r="220" spans="2:9" x14ac:dyDescent="0.25">
      <c r="B220" s="5" t="s">
        <v>4</v>
      </c>
      <c r="C220" s="5" t="s">
        <v>27</v>
      </c>
      <c r="D220" s="11">
        <v>60</v>
      </c>
      <c r="E220" s="5">
        <v>38</v>
      </c>
      <c r="F220" s="5">
        <v>47</v>
      </c>
      <c r="G220" s="5" t="s">
        <v>18</v>
      </c>
      <c r="H220" s="7" t="s">
        <v>6</v>
      </c>
      <c r="I220" s="12">
        <f t="shared" si="6"/>
        <v>2280</v>
      </c>
    </row>
    <row r="221" spans="2:9" x14ac:dyDescent="0.25">
      <c r="B221" s="5" t="s">
        <v>4</v>
      </c>
      <c r="C221" s="5" t="s">
        <v>27</v>
      </c>
      <c r="D221" s="11">
        <v>60</v>
      </c>
      <c r="E221" s="5">
        <v>37</v>
      </c>
      <c r="F221" s="5">
        <v>57</v>
      </c>
      <c r="G221" s="5" t="s">
        <v>18</v>
      </c>
      <c r="H221" s="7" t="s">
        <v>8</v>
      </c>
      <c r="I221" s="12">
        <f t="shared" si="6"/>
        <v>2220</v>
      </c>
    </row>
    <row r="222" spans="2:9" x14ac:dyDescent="0.25">
      <c r="B222" s="5" t="s">
        <v>4</v>
      </c>
      <c r="C222" s="5" t="s">
        <v>27</v>
      </c>
      <c r="D222" s="11">
        <v>60</v>
      </c>
      <c r="E222" s="5">
        <v>25</v>
      </c>
      <c r="F222" s="5">
        <v>46</v>
      </c>
      <c r="G222" s="5" t="s">
        <v>19</v>
      </c>
      <c r="H222" s="7" t="s">
        <v>6</v>
      </c>
      <c r="I222" s="12">
        <f t="shared" si="6"/>
        <v>1500</v>
      </c>
    </row>
    <row r="223" spans="2:9" x14ac:dyDescent="0.25">
      <c r="B223" s="5" t="s">
        <v>4</v>
      </c>
      <c r="C223" s="5" t="s">
        <v>27</v>
      </c>
      <c r="D223" s="11">
        <v>60</v>
      </c>
      <c r="E223" s="5">
        <v>5</v>
      </c>
      <c r="F223" s="5">
        <v>34</v>
      </c>
      <c r="G223" s="5" t="s">
        <v>19</v>
      </c>
      <c r="H223" s="7" t="s">
        <v>6</v>
      </c>
      <c r="I223" s="12">
        <f t="shared" si="6"/>
        <v>300</v>
      </c>
    </row>
    <row r="224" spans="2:9" x14ac:dyDescent="0.25">
      <c r="B224" s="5" t="s">
        <v>4</v>
      </c>
      <c r="C224" s="5" t="s">
        <v>27</v>
      </c>
      <c r="D224" s="11">
        <v>60</v>
      </c>
      <c r="E224" s="5">
        <v>15</v>
      </c>
      <c r="F224" s="5">
        <v>13</v>
      </c>
      <c r="G224" s="5" t="s">
        <v>20</v>
      </c>
      <c r="H224" s="7" t="s">
        <v>8</v>
      </c>
      <c r="I224" s="12">
        <f t="shared" ref="I224:I255" si="7">D224*E224</f>
        <v>900</v>
      </c>
    </row>
    <row r="225" spans="2:9" x14ac:dyDescent="0.25">
      <c r="B225" s="5" t="s">
        <v>4</v>
      </c>
      <c r="C225" s="5" t="s">
        <v>27</v>
      </c>
      <c r="D225" s="11">
        <v>60</v>
      </c>
      <c r="E225" s="5">
        <v>14</v>
      </c>
      <c r="F225" s="5">
        <v>19</v>
      </c>
      <c r="G225" s="5" t="s">
        <v>20</v>
      </c>
      <c r="H225" s="7" t="s">
        <v>6</v>
      </c>
      <c r="I225" s="12">
        <f t="shared" si="7"/>
        <v>840</v>
      </c>
    </row>
    <row r="226" spans="2:9" x14ac:dyDescent="0.25">
      <c r="B226" s="5" t="s">
        <v>4</v>
      </c>
      <c r="C226" s="5" t="s">
        <v>27</v>
      </c>
      <c r="D226" s="11">
        <v>60</v>
      </c>
      <c r="E226" s="5">
        <v>19</v>
      </c>
      <c r="F226" s="5">
        <v>35</v>
      </c>
      <c r="G226" s="5" t="s">
        <v>21</v>
      </c>
      <c r="H226" s="7" t="s">
        <v>8</v>
      </c>
      <c r="I226" s="12">
        <f t="shared" si="7"/>
        <v>1140</v>
      </c>
    </row>
    <row r="227" spans="2:9" x14ac:dyDescent="0.25">
      <c r="B227" s="5" t="s">
        <v>4</v>
      </c>
      <c r="C227" s="5" t="s">
        <v>27</v>
      </c>
      <c r="D227" s="11">
        <v>60</v>
      </c>
      <c r="E227" s="5">
        <v>39</v>
      </c>
      <c r="F227" s="5">
        <v>56</v>
      </c>
      <c r="G227" s="5" t="s">
        <v>21</v>
      </c>
      <c r="H227" s="7" t="s">
        <v>6</v>
      </c>
      <c r="I227" s="12">
        <f t="shared" si="7"/>
        <v>2340</v>
      </c>
    </row>
    <row r="228" spans="2:9" x14ac:dyDescent="0.25">
      <c r="B228" s="5" t="s">
        <v>4</v>
      </c>
      <c r="C228" s="5" t="s">
        <v>27</v>
      </c>
      <c r="D228" s="11">
        <v>60</v>
      </c>
      <c r="E228" s="5">
        <v>38</v>
      </c>
      <c r="F228" s="5">
        <v>13</v>
      </c>
      <c r="G228" s="5" t="s">
        <v>22</v>
      </c>
      <c r="H228" s="7" t="s">
        <v>8</v>
      </c>
      <c r="I228" s="12">
        <f t="shared" si="7"/>
        <v>2280</v>
      </c>
    </row>
    <row r="229" spans="2:9" x14ac:dyDescent="0.25">
      <c r="B229" s="5" t="s">
        <v>4</v>
      </c>
      <c r="C229" s="5" t="s">
        <v>27</v>
      </c>
      <c r="D229" s="11">
        <v>60</v>
      </c>
      <c r="E229" s="5">
        <v>49</v>
      </c>
      <c r="F229" s="5">
        <v>58</v>
      </c>
      <c r="G229" s="5" t="s">
        <v>22</v>
      </c>
      <c r="H229" s="7" t="s">
        <v>6</v>
      </c>
      <c r="I229" s="12">
        <f t="shared" si="7"/>
        <v>2940</v>
      </c>
    </row>
    <row r="230" spans="2:9" x14ac:dyDescent="0.25">
      <c r="B230" s="5" t="s">
        <v>23</v>
      </c>
      <c r="C230" s="5" t="s">
        <v>27</v>
      </c>
      <c r="D230" s="11">
        <v>100</v>
      </c>
      <c r="E230" s="5">
        <v>21</v>
      </c>
      <c r="F230" s="5">
        <v>22</v>
      </c>
      <c r="G230" s="6" t="s">
        <v>7</v>
      </c>
      <c r="H230" s="7" t="s">
        <v>6</v>
      </c>
      <c r="I230" s="12">
        <f t="shared" si="7"/>
        <v>2100</v>
      </c>
    </row>
    <row r="231" spans="2:9" x14ac:dyDescent="0.25">
      <c r="B231" s="5" t="s">
        <v>23</v>
      </c>
      <c r="C231" s="5" t="s">
        <v>27</v>
      </c>
      <c r="D231" s="11">
        <v>100</v>
      </c>
      <c r="E231" s="5">
        <v>28</v>
      </c>
      <c r="F231" s="5">
        <v>39</v>
      </c>
      <c r="G231" s="5" t="s">
        <v>7</v>
      </c>
      <c r="H231" s="7" t="s">
        <v>8</v>
      </c>
      <c r="I231" s="12">
        <f t="shared" si="7"/>
        <v>2800</v>
      </c>
    </row>
    <row r="232" spans="2:9" x14ac:dyDescent="0.25">
      <c r="B232" s="5" t="s">
        <v>23</v>
      </c>
      <c r="C232" s="5" t="s">
        <v>27</v>
      </c>
      <c r="D232" s="11">
        <v>100</v>
      </c>
      <c r="E232" s="5">
        <v>12</v>
      </c>
      <c r="F232" s="5">
        <v>68</v>
      </c>
      <c r="G232" s="5" t="s">
        <v>12</v>
      </c>
      <c r="H232" s="7" t="s">
        <v>6</v>
      </c>
      <c r="I232" s="12">
        <f t="shared" si="7"/>
        <v>1200</v>
      </c>
    </row>
    <row r="233" spans="2:9" x14ac:dyDescent="0.25">
      <c r="B233" s="5" t="s">
        <v>23</v>
      </c>
      <c r="C233" s="5" t="s">
        <v>27</v>
      </c>
      <c r="D233" s="11">
        <v>100</v>
      </c>
      <c r="E233" s="5">
        <v>7</v>
      </c>
      <c r="F233" s="5">
        <v>73</v>
      </c>
      <c r="G233" s="5" t="s">
        <v>12</v>
      </c>
      <c r="H233" s="7" t="s">
        <v>8</v>
      </c>
      <c r="I233" s="12">
        <f t="shared" si="7"/>
        <v>700</v>
      </c>
    </row>
    <row r="234" spans="2:9" x14ac:dyDescent="0.25">
      <c r="B234" s="5" t="s">
        <v>23</v>
      </c>
      <c r="C234" s="5" t="s">
        <v>27</v>
      </c>
      <c r="D234" s="11">
        <v>100</v>
      </c>
      <c r="E234" s="5">
        <v>20</v>
      </c>
      <c r="F234" s="5">
        <v>42</v>
      </c>
      <c r="G234" s="5" t="s">
        <v>13</v>
      </c>
      <c r="H234" s="7" t="s">
        <v>6</v>
      </c>
      <c r="I234" s="12">
        <f t="shared" si="7"/>
        <v>2000</v>
      </c>
    </row>
    <row r="235" spans="2:9" x14ac:dyDescent="0.25">
      <c r="B235" s="5" t="s">
        <v>23</v>
      </c>
      <c r="C235" s="5" t="s">
        <v>27</v>
      </c>
      <c r="D235" s="11">
        <v>100</v>
      </c>
      <c r="E235" s="5">
        <v>15</v>
      </c>
      <c r="F235" s="5">
        <v>27</v>
      </c>
      <c r="G235" s="5" t="s">
        <v>13</v>
      </c>
      <c r="H235" s="7" t="s">
        <v>8</v>
      </c>
      <c r="I235" s="12">
        <f t="shared" si="7"/>
        <v>1500</v>
      </c>
    </row>
    <row r="236" spans="2:9" x14ac:dyDescent="0.25">
      <c r="B236" s="5" t="s">
        <v>23</v>
      </c>
      <c r="C236" s="5" t="s">
        <v>27</v>
      </c>
      <c r="D236" s="11">
        <v>100</v>
      </c>
      <c r="E236" s="5">
        <v>26</v>
      </c>
      <c r="F236" s="5">
        <v>57</v>
      </c>
      <c r="G236" s="5" t="s">
        <v>14</v>
      </c>
      <c r="H236" s="7" t="s">
        <v>6</v>
      </c>
      <c r="I236" s="12">
        <f t="shared" si="7"/>
        <v>2600</v>
      </c>
    </row>
    <row r="237" spans="2:9" x14ac:dyDescent="0.25">
      <c r="B237" s="5" t="s">
        <v>23</v>
      </c>
      <c r="C237" s="5" t="s">
        <v>27</v>
      </c>
      <c r="D237" s="11">
        <v>100</v>
      </c>
      <c r="E237" s="5">
        <v>17</v>
      </c>
      <c r="F237" s="5">
        <v>37</v>
      </c>
      <c r="G237" s="5" t="s">
        <v>14</v>
      </c>
      <c r="H237" s="7" t="s">
        <v>8</v>
      </c>
      <c r="I237" s="12">
        <f t="shared" si="7"/>
        <v>1700</v>
      </c>
    </row>
    <row r="238" spans="2:9" x14ac:dyDescent="0.25">
      <c r="B238" s="5" t="s">
        <v>23</v>
      </c>
      <c r="C238" s="5" t="s">
        <v>27</v>
      </c>
      <c r="D238" s="11">
        <v>100</v>
      </c>
      <c r="E238" s="5">
        <v>17</v>
      </c>
      <c r="F238" s="5">
        <v>46</v>
      </c>
      <c r="G238" s="5" t="s">
        <v>15</v>
      </c>
      <c r="H238" s="7" t="s">
        <v>6</v>
      </c>
      <c r="I238" s="12">
        <f t="shared" si="7"/>
        <v>1700</v>
      </c>
    </row>
    <row r="239" spans="2:9" x14ac:dyDescent="0.25">
      <c r="B239" s="5" t="s">
        <v>23</v>
      </c>
      <c r="C239" s="5" t="s">
        <v>27</v>
      </c>
      <c r="D239" s="11">
        <v>100</v>
      </c>
      <c r="E239" s="5">
        <v>12</v>
      </c>
      <c r="F239" s="5">
        <v>75</v>
      </c>
      <c r="G239" s="5" t="s">
        <v>15</v>
      </c>
      <c r="H239" s="7" t="s">
        <v>8</v>
      </c>
      <c r="I239" s="12">
        <f t="shared" si="7"/>
        <v>1200</v>
      </c>
    </row>
    <row r="240" spans="2:9" x14ac:dyDescent="0.25">
      <c r="B240" s="5" t="s">
        <v>23</v>
      </c>
      <c r="C240" s="5" t="s">
        <v>27</v>
      </c>
      <c r="D240" s="11">
        <v>100</v>
      </c>
      <c r="E240" s="5">
        <v>26</v>
      </c>
      <c r="F240" s="5">
        <v>75</v>
      </c>
      <c r="G240" s="5" t="s">
        <v>16</v>
      </c>
      <c r="H240" s="7" t="s">
        <v>6</v>
      </c>
      <c r="I240" s="12">
        <f t="shared" si="7"/>
        <v>2600</v>
      </c>
    </row>
    <row r="241" spans="2:9" x14ac:dyDescent="0.25">
      <c r="B241" s="5" t="s">
        <v>23</v>
      </c>
      <c r="C241" s="5" t="s">
        <v>27</v>
      </c>
      <c r="D241" s="11">
        <v>100</v>
      </c>
      <c r="E241" s="5">
        <v>37</v>
      </c>
      <c r="F241" s="5">
        <v>72</v>
      </c>
      <c r="G241" s="5" t="s">
        <v>16</v>
      </c>
      <c r="H241" s="7" t="s">
        <v>8</v>
      </c>
      <c r="I241" s="12">
        <f t="shared" si="7"/>
        <v>3700</v>
      </c>
    </row>
    <row r="242" spans="2:9" x14ac:dyDescent="0.25">
      <c r="B242" s="5" t="s">
        <v>23</v>
      </c>
      <c r="C242" s="5" t="s">
        <v>27</v>
      </c>
      <c r="D242" s="11">
        <v>100</v>
      </c>
      <c r="E242" s="5">
        <v>25</v>
      </c>
      <c r="F242" s="5">
        <v>55</v>
      </c>
      <c r="G242" s="5" t="s">
        <v>17</v>
      </c>
      <c r="H242" s="7" t="s">
        <v>6</v>
      </c>
      <c r="I242" s="12">
        <f t="shared" si="7"/>
        <v>2500</v>
      </c>
    </row>
    <row r="243" spans="2:9" x14ac:dyDescent="0.25">
      <c r="B243" s="5" t="s">
        <v>23</v>
      </c>
      <c r="C243" s="5" t="s">
        <v>27</v>
      </c>
      <c r="D243" s="11">
        <v>100</v>
      </c>
      <c r="E243" s="5">
        <v>28</v>
      </c>
      <c r="F243" s="5">
        <v>75</v>
      </c>
      <c r="G243" s="5" t="s">
        <v>17</v>
      </c>
      <c r="H243" s="7" t="s">
        <v>8</v>
      </c>
      <c r="I243" s="12">
        <f t="shared" si="7"/>
        <v>2800</v>
      </c>
    </row>
    <row r="244" spans="2:9" x14ac:dyDescent="0.25">
      <c r="B244" s="5" t="s">
        <v>23</v>
      </c>
      <c r="C244" s="5" t="s">
        <v>27</v>
      </c>
      <c r="D244" s="11">
        <v>100</v>
      </c>
      <c r="E244" s="5">
        <v>23</v>
      </c>
      <c r="F244" s="5">
        <v>47</v>
      </c>
      <c r="G244" s="5" t="s">
        <v>18</v>
      </c>
      <c r="H244" s="7" t="s">
        <v>6</v>
      </c>
      <c r="I244" s="12">
        <f t="shared" si="7"/>
        <v>2300</v>
      </c>
    </row>
    <row r="245" spans="2:9" x14ac:dyDescent="0.25">
      <c r="B245" s="5" t="s">
        <v>23</v>
      </c>
      <c r="C245" s="5" t="s">
        <v>27</v>
      </c>
      <c r="D245" s="11">
        <v>100</v>
      </c>
      <c r="E245" s="5">
        <v>27</v>
      </c>
      <c r="F245" s="5">
        <v>57</v>
      </c>
      <c r="G245" s="5" t="s">
        <v>18</v>
      </c>
      <c r="H245" s="7" t="s">
        <v>8</v>
      </c>
      <c r="I245" s="12">
        <f t="shared" si="7"/>
        <v>2700</v>
      </c>
    </row>
    <row r="246" spans="2:9" x14ac:dyDescent="0.25">
      <c r="B246" s="5" t="s">
        <v>23</v>
      </c>
      <c r="C246" s="5" t="s">
        <v>27</v>
      </c>
      <c r="D246" s="11">
        <v>100</v>
      </c>
      <c r="E246" s="5">
        <v>33</v>
      </c>
      <c r="F246" s="5">
        <v>46</v>
      </c>
      <c r="G246" s="5" t="s">
        <v>19</v>
      </c>
      <c r="H246" s="7" t="s">
        <v>6</v>
      </c>
      <c r="I246" s="12">
        <f t="shared" si="7"/>
        <v>3300</v>
      </c>
    </row>
    <row r="247" spans="2:9" x14ac:dyDescent="0.25">
      <c r="B247" s="5" t="s">
        <v>23</v>
      </c>
      <c r="C247" s="5" t="s">
        <v>27</v>
      </c>
      <c r="D247" s="11">
        <v>100</v>
      </c>
      <c r="E247" s="5">
        <v>27</v>
      </c>
      <c r="F247" s="5">
        <v>44</v>
      </c>
      <c r="G247" s="5" t="s">
        <v>19</v>
      </c>
      <c r="H247" s="7" t="s">
        <v>6</v>
      </c>
      <c r="I247" s="12">
        <f t="shared" si="7"/>
        <v>2700</v>
      </c>
    </row>
    <row r="248" spans="2:9" x14ac:dyDescent="0.25">
      <c r="B248" s="5" t="s">
        <v>23</v>
      </c>
      <c r="C248" s="5" t="s">
        <v>27</v>
      </c>
      <c r="D248" s="11">
        <v>100</v>
      </c>
      <c r="E248" s="5">
        <v>25</v>
      </c>
      <c r="F248" s="5">
        <v>83</v>
      </c>
      <c r="G248" s="5" t="s">
        <v>20</v>
      </c>
      <c r="H248" s="7" t="s">
        <v>8</v>
      </c>
      <c r="I248" s="12">
        <f t="shared" si="7"/>
        <v>2500</v>
      </c>
    </row>
    <row r="249" spans="2:9" x14ac:dyDescent="0.25">
      <c r="B249" s="5" t="s">
        <v>23</v>
      </c>
      <c r="C249" s="5" t="s">
        <v>27</v>
      </c>
      <c r="D249" s="11">
        <v>100</v>
      </c>
      <c r="E249" s="5">
        <v>36</v>
      </c>
      <c r="F249" s="5">
        <v>63</v>
      </c>
      <c r="G249" s="5" t="s">
        <v>20</v>
      </c>
      <c r="H249" s="7" t="s">
        <v>6</v>
      </c>
      <c r="I249" s="12">
        <f t="shared" si="7"/>
        <v>3600</v>
      </c>
    </row>
    <row r="250" spans="2:9" x14ac:dyDescent="0.25">
      <c r="B250" s="5" t="s">
        <v>23</v>
      </c>
      <c r="C250" s="5" t="s">
        <v>27</v>
      </c>
      <c r="D250" s="11">
        <v>100</v>
      </c>
      <c r="E250" s="5">
        <v>39</v>
      </c>
      <c r="F250" s="5">
        <v>45</v>
      </c>
      <c r="G250" s="5" t="s">
        <v>21</v>
      </c>
      <c r="H250" s="7" t="s">
        <v>8</v>
      </c>
      <c r="I250" s="12">
        <f t="shared" si="7"/>
        <v>3900</v>
      </c>
    </row>
    <row r="251" spans="2:9" x14ac:dyDescent="0.25">
      <c r="B251" s="5" t="s">
        <v>23</v>
      </c>
      <c r="C251" s="5" t="s">
        <v>27</v>
      </c>
      <c r="D251" s="11">
        <v>100</v>
      </c>
      <c r="E251" s="5">
        <v>29</v>
      </c>
      <c r="F251" s="5">
        <v>46</v>
      </c>
      <c r="G251" s="5" t="s">
        <v>21</v>
      </c>
      <c r="H251" s="7" t="s">
        <v>6</v>
      </c>
      <c r="I251" s="12">
        <f t="shared" si="7"/>
        <v>2900</v>
      </c>
    </row>
    <row r="252" spans="2:9" x14ac:dyDescent="0.25">
      <c r="B252" s="5" t="s">
        <v>23</v>
      </c>
      <c r="C252" s="5" t="s">
        <v>27</v>
      </c>
      <c r="D252" s="11">
        <v>100</v>
      </c>
      <c r="E252" s="5">
        <v>48</v>
      </c>
      <c r="F252" s="5">
        <v>53</v>
      </c>
      <c r="G252" s="5" t="s">
        <v>22</v>
      </c>
      <c r="H252" s="7" t="s">
        <v>8</v>
      </c>
      <c r="I252" s="12">
        <f t="shared" si="7"/>
        <v>4800</v>
      </c>
    </row>
    <row r="253" spans="2:9" x14ac:dyDescent="0.25">
      <c r="B253" s="5" t="s">
        <v>23</v>
      </c>
      <c r="C253" s="5" t="s">
        <v>27</v>
      </c>
      <c r="D253" s="11">
        <v>100</v>
      </c>
      <c r="E253" s="5">
        <v>19</v>
      </c>
      <c r="F253" s="5">
        <v>78</v>
      </c>
      <c r="G253" s="5" t="s">
        <v>22</v>
      </c>
      <c r="H253" s="7" t="s">
        <v>6</v>
      </c>
      <c r="I253" s="12">
        <f t="shared" si="7"/>
        <v>1900</v>
      </c>
    </row>
    <row r="254" spans="2:9" x14ac:dyDescent="0.25">
      <c r="B254" s="5" t="s">
        <v>24</v>
      </c>
      <c r="C254" s="5" t="s">
        <v>27</v>
      </c>
      <c r="D254" s="11">
        <v>100</v>
      </c>
      <c r="E254" s="5">
        <v>14</v>
      </c>
      <c r="F254" s="5">
        <v>14</v>
      </c>
      <c r="G254" s="6" t="s">
        <v>7</v>
      </c>
      <c r="H254" s="7" t="s">
        <v>6</v>
      </c>
      <c r="I254" s="12">
        <f t="shared" si="7"/>
        <v>1400</v>
      </c>
    </row>
    <row r="255" spans="2:9" x14ac:dyDescent="0.25">
      <c r="B255" s="5" t="s">
        <v>24</v>
      </c>
      <c r="C255" s="5" t="s">
        <v>27</v>
      </c>
      <c r="D255" s="11">
        <v>100</v>
      </c>
      <c r="E255" s="5">
        <v>18</v>
      </c>
      <c r="F255" s="5">
        <v>19</v>
      </c>
      <c r="G255" s="5" t="s">
        <v>7</v>
      </c>
      <c r="H255" s="7" t="s">
        <v>8</v>
      </c>
      <c r="I255" s="12">
        <f t="shared" si="7"/>
        <v>1800</v>
      </c>
    </row>
    <row r="256" spans="2:9" x14ac:dyDescent="0.25">
      <c r="B256" s="5" t="s">
        <v>24</v>
      </c>
      <c r="C256" s="5" t="s">
        <v>27</v>
      </c>
      <c r="D256" s="11">
        <v>100</v>
      </c>
      <c r="E256" s="5">
        <v>15</v>
      </c>
      <c r="F256" s="5">
        <v>58</v>
      </c>
      <c r="G256" s="5" t="s">
        <v>12</v>
      </c>
      <c r="H256" s="7" t="s">
        <v>6</v>
      </c>
      <c r="I256" s="12">
        <f t="shared" ref="I256:I277" si="8">D256*E256</f>
        <v>1500</v>
      </c>
    </row>
    <row r="257" spans="2:9" x14ac:dyDescent="0.25">
      <c r="B257" s="5" t="s">
        <v>24</v>
      </c>
      <c r="C257" s="5" t="s">
        <v>27</v>
      </c>
      <c r="D257" s="11">
        <v>100</v>
      </c>
      <c r="E257" s="5">
        <v>14</v>
      </c>
      <c r="F257" s="5">
        <v>45</v>
      </c>
      <c r="G257" s="5" t="s">
        <v>12</v>
      </c>
      <c r="H257" s="7" t="s">
        <v>8</v>
      </c>
      <c r="I257" s="12">
        <f t="shared" si="8"/>
        <v>1400</v>
      </c>
    </row>
    <row r="258" spans="2:9" x14ac:dyDescent="0.25">
      <c r="B258" s="5" t="s">
        <v>24</v>
      </c>
      <c r="C258" s="5" t="s">
        <v>27</v>
      </c>
      <c r="D258" s="11">
        <v>100</v>
      </c>
      <c r="E258" s="5">
        <v>13</v>
      </c>
      <c r="F258" s="5">
        <v>76</v>
      </c>
      <c r="G258" s="5" t="s">
        <v>13</v>
      </c>
      <c r="H258" s="7" t="s">
        <v>6</v>
      </c>
      <c r="I258" s="12">
        <f t="shared" si="8"/>
        <v>1300</v>
      </c>
    </row>
    <row r="259" spans="2:9" x14ac:dyDescent="0.25">
      <c r="B259" s="5" t="s">
        <v>24</v>
      </c>
      <c r="C259" s="5" t="s">
        <v>27</v>
      </c>
      <c r="D259" s="11">
        <v>100</v>
      </c>
      <c r="E259" s="5">
        <v>14</v>
      </c>
      <c r="F259" s="5">
        <v>97</v>
      </c>
      <c r="G259" s="5" t="s">
        <v>13</v>
      </c>
      <c r="H259" s="7" t="s">
        <v>8</v>
      </c>
      <c r="I259" s="12">
        <f t="shared" si="8"/>
        <v>1400</v>
      </c>
    </row>
    <row r="260" spans="2:9" x14ac:dyDescent="0.25">
      <c r="B260" s="5" t="s">
        <v>24</v>
      </c>
      <c r="C260" s="5" t="s">
        <v>27</v>
      </c>
      <c r="D260" s="11">
        <v>100</v>
      </c>
      <c r="E260" s="5">
        <v>18</v>
      </c>
      <c r="F260" s="5">
        <v>87</v>
      </c>
      <c r="G260" s="5" t="s">
        <v>14</v>
      </c>
      <c r="H260" s="7" t="s">
        <v>6</v>
      </c>
      <c r="I260" s="12">
        <f t="shared" si="8"/>
        <v>1800</v>
      </c>
    </row>
    <row r="261" spans="2:9" x14ac:dyDescent="0.25">
      <c r="B261" s="5" t="s">
        <v>24</v>
      </c>
      <c r="C261" s="5" t="s">
        <v>27</v>
      </c>
      <c r="D261" s="11">
        <v>100</v>
      </c>
      <c r="E261" s="5">
        <v>27</v>
      </c>
      <c r="F261" s="5">
        <v>37</v>
      </c>
      <c r="G261" s="5" t="s">
        <v>14</v>
      </c>
      <c r="H261" s="7" t="s">
        <v>8</v>
      </c>
      <c r="I261" s="12">
        <f t="shared" si="8"/>
        <v>2700</v>
      </c>
    </row>
    <row r="262" spans="2:9" x14ac:dyDescent="0.25">
      <c r="B262" s="5" t="s">
        <v>24</v>
      </c>
      <c r="C262" s="5" t="s">
        <v>27</v>
      </c>
      <c r="D262" s="11">
        <v>100</v>
      </c>
      <c r="E262" s="5">
        <v>17</v>
      </c>
      <c r="F262" s="5">
        <v>56</v>
      </c>
      <c r="G262" s="5" t="s">
        <v>15</v>
      </c>
      <c r="H262" s="7" t="s">
        <v>6</v>
      </c>
      <c r="I262" s="12">
        <f t="shared" si="8"/>
        <v>1700</v>
      </c>
    </row>
    <row r="263" spans="2:9" x14ac:dyDescent="0.25">
      <c r="B263" s="5" t="s">
        <v>24</v>
      </c>
      <c r="C263" s="5" t="s">
        <v>27</v>
      </c>
      <c r="D263" s="11">
        <v>100</v>
      </c>
      <c r="E263" s="5">
        <v>15</v>
      </c>
      <c r="F263" s="5">
        <v>75</v>
      </c>
      <c r="G263" s="5" t="s">
        <v>15</v>
      </c>
      <c r="H263" s="7" t="s">
        <v>8</v>
      </c>
      <c r="I263" s="12">
        <f t="shared" si="8"/>
        <v>1500</v>
      </c>
    </row>
    <row r="264" spans="2:9" x14ac:dyDescent="0.25">
      <c r="B264" s="5" t="s">
        <v>24</v>
      </c>
      <c r="C264" s="5" t="s">
        <v>27</v>
      </c>
      <c r="D264" s="11">
        <v>100</v>
      </c>
      <c r="E264" s="5">
        <v>14</v>
      </c>
      <c r="F264" s="5">
        <v>75</v>
      </c>
      <c r="G264" s="5" t="s">
        <v>16</v>
      </c>
      <c r="H264" s="7" t="s">
        <v>6</v>
      </c>
      <c r="I264" s="12">
        <f t="shared" si="8"/>
        <v>1400</v>
      </c>
    </row>
    <row r="265" spans="2:9" x14ac:dyDescent="0.25">
      <c r="B265" s="5" t="s">
        <v>24</v>
      </c>
      <c r="C265" s="5" t="s">
        <v>27</v>
      </c>
      <c r="D265" s="11">
        <v>100</v>
      </c>
      <c r="E265" s="5">
        <v>17</v>
      </c>
      <c r="F265" s="5">
        <v>72</v>
      </c>
      <c r="G265" s="5" t="s">
        <v>16</v>
      </c>
      <c r="H265" s="7" t="s">
        <v>8</v>
      </c>
      <c r="I265" s="12">
        <f t="shared" si="8"/>
        <v>1700</v>
      </c>
    </row>
    <row r="266" spans="2:9" x14ac:dyDescent="0.25">
      <c r="B266" s="5" t="s">
        <v>24</v>
      </c>
      <c r="C266" s="5" t="s">
        <v>27</v>
      </c>
      <c r="D266" s="11">
        <v>100</v>
      </c>
      <c r="E266" s="5">
        <v>15</v>
      </c>
      <c r="F266" s="5">
        <v>75</v>
      </c>
      <c r="G266" s="5" t="s">
        <v>17</v>
      </c>
      <c r="H266" s="7" t="s">
        <v>6</v>
      </c>
      <c r="I266" s="12">
        <f t="shared" si="8"/>
        <v>1500</v>
      </c>
    </row>
    <row r="267" spans="2:9" x14ac:dyDescent="0.25">
      <c r="B267" s="5" t="s">
        <v>24</v>
      </c>
      <c r="C267" s="5" t="s">
        <v>27</v>
      </c>
      <c r="D267" s="11">
        <v>100</v>
      </c>
      <c r="E267" s="5">
        <v>18</v>
      </c>
      <c r="F267" s="5">
        <v>76</v>
      </c>
      <c r="G267" s="5" t="s">
        <v>17</v>
      </c>
      <c r="H267" s="7" t="s">
        <v>8</v>
      </c>
      <c r="I267" s="12">
        <f t="shared" si="8"/>
        <v>1800</v>
      </c>
    </row>
    <row r="268" spans="2:9" x14ac:dyDescent="0.25">
      <c r="B268" s="5" t="s">
        <v>24</v>
      </c>
      <c r="C268" s="5" t="s">
        <v>27</v>
      </c>
      <c r="D268" s="11">
        <v>100</v>
      </c>
      <c r="E268" s="5">
        <v>13</v>
      </c>
      <c r="F268" s="5">
        <v>87</v>
      </c>
      <c r="G268" s="5" t="s">
        <v>18</v>
      </c>
      <c r="H268" s="7" t="s">
        <v>6</v>
      </c>
      <c r="I268" s="12">
        <f t="shared" si="8"/>
        <v>1300</v>
      </c>
    </row>
    <row r="269" spans="2:9" x14ac:dyDescent="0.25">
      <c r="B269" s="5" t="s">
        <v>24</v>
      </c>
      <c r="C269" s="5" t="s">
        <v>27</v>
      </c>
      <c r="D269" s="11">
        <v>100</v>
      </c>
      <c r="E269" s="5">
        <v>17</v>
      </c>
      <c r="F269" s="5">
        <v>22</v>
      </c>
      <c r="G269" s="5" t="s">
        <v>18</v>
      </c>
      <c r="H269" s="7" t="s">
        <v>8</v>
      </c>
      <c r="I269" s="12">
        <f t="shared" si="8"/>
        <v>1700</v>
      </c>
    </row>
    <row r="270" spans="2:9" x14ac:dyDescent="0.25">
      <c r="B270" s="5" t="s">
        <v>24</v>
      </c>
      <c r="C270" s="5" t="s">
        <v>27</v>
      </c>
      <c r="D270" s="11">
        <v>100</v>
      </c>
      <c r="E270" s="5">
        <v>15</v>
      </c>
      <c r="F270" s="5">
        <v>45</v>
      </c>
      <c r="G270" s="5" t="s">
        <v>19</v>
      </c>
      <c r="H270" s="7" t="s">
        <v>6</v>
      </c>
      <c r="I270" s="12">
        <f t="shared" si="8"/>
        <v>1500</v>
      </c>
    </row>
    <row r="271" spans="2:9" x14ac:dyDescent="0.25">
      <c r="B271" s="5" t="s">
        <v>24</v>
      </c>
      <c r="C271" s="5" t="s">
        <v>27</v>
      </c>
      <c r="D271" s="11">
        <v>100</v>
      </c>
      <c r="E271" s="5">
        <v>25</v>
      </c>
      <c r="F271" s="5">
        <v>87</v>
      </c>
      <c r="G271" s="5" t="s">
        <v>19</v>
      </c>
      <c r="H271" s="7" t="s">
        <v>6</v>
      </c>
      <c r="I271" s="12">
        <f t="shared" si="8"/>
        <v>2500</v>
      </c>
    </row>
    <row r="272" spans="2:9" x14ac:dyDescent="0.25">
      <c r="B272" s="5" t="s">
        <v>24</v>
      </c>
      <c r="C272" s="5" t="s">
        <v>27</v>
      </c>
      <c r="D272" s="11">
        <v>100</v>
      </c>
      <c r="E272" s="5">
        <v>18</v>
      </c>
      <c r="F272" s="5">
        <v>65</v>
      </c>
      <c r="G272" s="5" t="s">
        <v>20</v>
      </c>
      <c r="H272" s="7" t="s">
        <v>8</v>
      </c>
      <c r="I272" s="12">
        <f t="shared" si="8"/>
        <v>1800</v>
      </c>
    </row>
    <row r="273" spans="2:9" x14ac:dyDescent="0.25">
      <c r="B273" s="5" t="s">
        <v>24</v>
      </c>
      <c r="C273" s="5" t="s">
        <v>27</v>
      </c>
      <c r="D273" s="11">
        <v>100</v>
      </c>
      <c r="E273" s="5">
        <v>7</v>
      </c>
      <c r="F273" s="5">
        <v>43</v>
      </c>
      <c r="G273" s="5" t="s">
        <v>20</v>
      </c>
      <c r="H273" s="7" t="s">
        <v>6</v>
      </c>
      <c r="I273" s="12">
        <f t="shared" si="8"/>
        <v>700</v>
      </c>
    </row>
    <row r="274" spans="2:9" x14ac:dyDescent="0.25">
      <c r="B274" s="5" t="s">
        <v>24</v>
      </c>
      <c r="C274" s="5" t="s">
        <v>27</v>
      </c>
      <c r="D274" s="11">
        <v>100</v>
      </c>
      <c r="E274" s="5">
        <v>5</v>
      </c>
      <c r="F274" s="5">
        <v>36</v>
      </c>
      <c r="G274" s="5" t="s">
        <v>21</v>
      </c>
      <c r="H274" s="7" t="s">
        <v>8</v>
      </c>
      <c r="I274" s="12">
        <f t="shared" si="8"/>
        <v>500</v>
      </c>
    </row>
    <row r="275" spans="2:9" x14ac:dyDescent="0.25">
      <c r="B275" s="5" t="s">
        <v>24</v>
      </c>
      <c r="C275" s="5" t="s">
        <v>27</v>
      </c>
      <c r="D275" s="11">
        <v>100</v>
      </c>
      <c r="E275" s="5">
        <v>23</v>
      </c>
      <c r="F275" s="5">
        <v>87</v>
      </c>
      <c r="G275" s="5" t="s">
        <v>21</v>
      </c>
      <c r="H275" s="7" t="s">
        <v>6</v>
      </c>
      <c r="I275" s="12">
        <f t="shared" si="8"/>
        <v>2300</v>
      </c>
    </row>
    <row r="276" spans="2:9" x14ac:dyDescent="0.25">
      <c r="B276" s="5" t="s">
        <v>24</v>
      </c>
      <c r="C276" s="5" t="s">
        <v>27</v>
      </c>
      <c r="D276" s="11">
        <v>100</v>
      </c>
      <c r="E276" s="5">
        <v>28</v>
      </c>
      <c r="F276" s="5">
        <v>45</v>
      </c>
      <c r="G276" s="5" t="s">
        <v>22</v>
      </c>
      <c r="H276" s="7" t="s">
        <v>8</v>
      </c>
      <c r="I276" s="12">
        <f t="shared" si="8"/>
        <v>2800</v>
      </c>
    </row>
    <row r="277" spans="2:9" x14ac:dyDescent="0.25">
      <c r="B277" s="5" t="s">
        <v>24</v>
      </c>
      <c r="C277" s="5" t="s">
        <v>27</v>
      </c>
      <c r="D277" s="11">
        <v>100</v>
      </c>
      <c r="E277" s="5">
        <v>37</v>
      </c>
      <c r="F277" s="5">
        <v>78</v>
      </c>
      <c r="G277" s="5" t="s">
        <v>22</v>
      </c>
      <c r="H277" s="7" t="s">
        <v>6</v>
      </c>
      <c r="I277" s="12">
        <f t="shared" si="8"/>
        <v>3700</v>
      </c>
    </row>
  </sheetData>
  <autoFilter ref="B1:I278"/>
  <dataValidations count="4">
    <dataValidation type="list" allowBlank="1" showInputMessage="1" showErrorMessage="1" sqref="K3">
      <formula1>#REF!</formula1>
    </dataValidation>
    <dataValidation type="list" allowBlank="1" showInputMessage="1" showErrorMessage="1" sqref="H2:H181">
      <formula1>$V$5:$V$6</formula1>
    </dataValidation>
    <dataValidation type="list" allowBlank="1" showInputMessage="1" showErrorMessage="1" sqref="G2:G181">
      <formula1>$S$5:$S$16</formula1>
    </dataValidation>
    <dataValidation type="list" allowBlank="1" showInputMessage="1" showErrorMessage="1" sqref="B2:B181">
      <formula1>$Q$5:$Q$8</formula1>
    </dataValidation>
  </dataValidations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8"/>
  <dimension ref="L13:S108"/>
  <sheetViews>
    <sheetView workbookViewId="0">
      <selection activeCell="L13" sqref="L13:S108"/>
    </sheetView>
  </sheetViews>
  <sheetFormatPr defaultRowHeight="15" x14ac:dyDescent="0.25"/>
  <sheetData>
    <row r="13" spans="12:19" x14ac:dyDescent="0.25">
      <c r="L13" s="5" t="s">
        <v>11</v>
      </c>
      <c r="M13" s="5" t="s">
        <v>27</v>
      </c>
      <c r="N13" s="11">
        <v>35</v>
      </c>
      <c r="O13" s="5">
        <v>31</v>
      </c>
      <c r="P13" s="5">
        <v>120</v>
      </c>
      <c r="Q13" s="6" t="s">
        <v>7</v>
      </c>
      <c r="R13" s="7" t="s">
        <v>6</v>
      </c>
      <c r="S13" s="12">
        <f t="shared" ref="S13:S44" si="0">N13*O13</f>
        <v>1085</v>
      </c>
    </row>
    <row r="14" spans="12:19" x14ac:dyDescent="0.25">
      <c r="L14" s="5" t="s">
        <v>11</v>
      </c>
      <c r="M14" s="5" t="s">
        <v>27</v>
      </c>
      <c r="N14" s="11">
        <v>35</v>
      </c>
      <c r="O14" s="5">
        <v>58</v>
      </c>
      <c r="P14" s="5">
        <v>109</v>
      </c>
      <c r="Q14" s="5" t="s">
        <v>7</v>
      </c>
      <c r="R14" s="7" t="s">
        <v>8</v>
      </c>
      <c r="S14" s="12">
        <f t="shared" si="0"/>
        <v>2030</v>
      </c>
    </row>
    <row r="15" spans="12:19" x14ac:dyDescent="0.25">
      <c r="L15" s="5" t="s">
        <v>11</v>
      </c>
      <c r="M15" s="5" t="s">
        <v>27</v>
      </c>
      <c r="N15" s="11">
        <v>35</v>
      </c>
      <c r="O15" s="5">
        <v>67</v>
      </c>
      <c r="P15" s="5">
        <v>178</v>
      </c>
      <c r="Q15" s="5" t="s">
        <v>12</v>
      </c>
      <c r="R15" s="7" t="s">
        <v>6</v>
      </c>
      <c r="S15" s="12">
        <f t="shared" si="0"/>
        <v>2345</v>
      </c>
    </row>
    <row r="16" spans="12:19" x14ac:dyDescent="0.25">
      <c r="L16" s="5" t="s">
        <v>11</v>
      </c>
      <c r="M16" s="5" t="s">
        <v>27</v>
      </c>
      <c r="N16" s="11">
        <v>35</v>
      </c>
      <c r="O16" s="5">
        <v>89</v>
      </c>
      <c r="P16" s="5">
        <v>123</v>
      </c>
      <c r="Q16" s="5" t="s">
        <v>12</v>
      </c>
      <c r="R16" s="7" t="s">
        <v>8</v>
      </c>
      <c r="S16" s="12">
        <f t="shared" si="0"/>
        <v>3115</v>
      </c>
    </row>
    <row r="17" spans="12:19" x14ac:dyDescent="0.25">
      <c r="L17" s="5" t="s">
        <v>11</v>
      </c>
      <c r="M17" s="5" t="s">
        <v>27</v>
      </c>
      <c r="N17" s="11">
        <v>35</v>
      </c>
      <c r="O17" s="5">
        <v>35</v>
      </c>
      <c r="P17" s="5">
        <v>212</v>
      </c>
      <c r="Q17" s="5" t="s">
        <v>13</v>
      </c>
      <c r="R17" s="7" t="s">
        <v>6</v>
      </c>
      <c r="S17" s="12">
        <f t="shared" si="0"/>
        <v>1225</v>
      </c>
    </row>
    <row r="18" spans="12:19" x14ac:dyDescent="0.25">
      <c r="L18" s="5" t="s">
        <v>11</v>
      </c>
      <c r="M18" s="5" t="s">
        <v>27</v>
      </c>
      <c r="N18" s="11">
        <v>35</v>
      </c>
      <c r="O18" s="5">
        <v>99</v>
      </c>
      <c r="P18" s="5">
        <v>187</v>
      </c>
      <c r="Q18" s="5" t="s">
        <v>13</v>
      </c>
      <c r="R18" s="7" t="s">
        <v>8</v>
      </c>
      <c r="S18" s="12">
        <f t="shared" si="0"/>
        <v>3465</v>
      </c>
    </row>
    <row r="19" spans="12:19" x14ac:dyDescent="0.25">
      <c r="L19" s="5" t="s">
        <v>11</v>
      </c>
      <c r="M19" s="5" t="s">
        <v>27</v>
      </c>
      <c r="N19" s="11">
        <v>35</v>
      </c>
      <c r="O19" s="5">
        <v>40</v>
      </c>
      <c r="P19" s="5">
        <v>177</v>
      </c>
      <c r="Q19" s="5" t="s">
        <v>14</v>
      </c>
      <c r="R19" s="7" t="s">
        <v>6</v>
      </c>
      <c r="S19" s="12">
        <f t="shared" si="0"/>
        <v>1400</v>
      </c>
    </row>
    <row r="20" spans="12:19" x14ac:dyDescent="0.25">
      <c r="L20" s="5" t="s">
        <v>11</v>
      </c>
      <c r="M20" s="5" t="s">
        <v>27</v>
      </c>
      <c r="N20" s="11">
        <v>35</v>
      </c>
      <c r="O20" s="5">
        <v>37</v>
      </c>
      <c r="P20" s="5">
        <v>167</v>
      </c>
      <c r="Q20" s="5" t="s">
        <v>14</v>
      </c>
      <c r="R20" s="7" t="s">
        <v>8</v>
      </c>
      <c r="S20" s="12">
        <f t="shared" si="0"/>
        <v>1295</v>
      </c>
    </row>
    <row r="21" spans="12:19" x14ac:dyDescent="0.25">
      <c r="L21" s="5" t="s">
        <v>11</v>
      </c>
      <c r="M21" s="5" t="s">
        <v>27</v>
      </c>
      <c r="N21" s="11">
        <v>35</v>
      </c>
      <c r="O21" s="5">
        <v>29</v>
      </c>
      <c r="P21" s="5">
        <v>156</v>
      </c>
      <c r="Q21" s="5" t="s">
        <v>15</v>
      </c>
      <c r="R21" s="7" t="s">
        <v>6</v>
      </c>
      <c r="S21" s="12">
        <f t="shared" si="0"/>
        <v>1015</v>
      </c>
    </row>
    <row r="22" spans="12:19" x14ac:dyDescent="0.25">
      <c r="L22" s="5" t="s">
        <v>11</v>
      </c>
      <c r="M22" s="5" t="s">
        <v>27</v>
      </c>
      <c r="N22" s="11">
        <v>35</v>
      </c>
      <c r="O22" s="5">
        <v>48</v>
      </c>
      <c r="P22" s="5">
        <v>175</v>
      </c>
      <c r="Q22" s="5" t="s">
        <v>15</v>
      </c>
      <c r="R22" s="7" t="s">
        <v>8</v>
      </c>
      <c r="S22" s="12">
        <f t="shared" si="0"/>
        <v>1680</v>
      </c>
    </row>
    <row r="23" spans="12:19" x14ac:dyDescent="0.25">
      <c r="L23" s="5" t="s">
        <v>11</v>
      </c>
      <c r="M23" s="5" t="s">
        <v>27</v>
      </c>
      <c r="N23" s="11">
        <v>35</v>
      </c>
      <c r="O23" s="5">
        <v>78</v>
      </c>
      <c r="P23" s="5">
        <v>145</v>
      </c>
      <c r="Q23" s="5" t="s">
        <v>16</v>
      </c>
      <c r="R23" s="7" t="s">
        <v>6</v>
      </c>
      <c r="S23" s="12">
        <f t="shared" si="0"/>
        <v>2730</v>
      </c>
    </row>
    <row r="24" spans="12:19" x14ac:dyDescent="0.25">
      <c r="L24" s="5" t="s">
        <v>11</v>
      </c>
      <c r="M24" s="5" t="s">
        <v>27</v>
      </c>
      <c r="N24" s="11">
        <v>35</v>
      </c>
      <c r="O24" s="5">
        <v>23</v>
      </c>
      <c r="P24" s="5">
        <v>172</v>
      </c>
      <c r="Q24" s="5" t="s">
        <v>16</v>
      </c>
      <c r="R24" s="7" t="s">
        <v>8</v>
      </c>
      <c r="S24" s="12">
        <f t="shared" si="0"/>
        <v>805</v>
      </c>
    </row>
    <row r="25" spans="12:19" x14ac:dyDescent="0.25">
      <c r="L25" s="5" t="s">
        <v>11</v>
      </c>
      <c r="M25" s="5" t="s">
        <v>27</v>
      </c>
      <c r="N25" s="11">
        <v>35</v>
      </c>
      <c r="O25" s="5">
        <v>42</v>
      </c>
      <c r="P25" s="5">
        <v>125</v>
      </c>
      <c r="Q25" s="5" t="s">
        <v>17</v>
      </c>
      <c r="R25" s="7" t="s">
        <v>6</v>
      </c>
      <c r="S25" s="12">
        <f t="shared" si="0"/>
        <v>1470</v>
      </c>
    </row>
    <row r="26" spans="12:19" x14ac:dyDescent="0.25">
      <c r="L26" s="5" t="s">
        <v>11</v>
      </c>
      <c r="M26" s="5" t="s">
        <v>27</v>
      </c>
      <c r="N26" s="11">
        <v>35</v>
      </c>
      <c r="O26" s="5">
        <v>57</v>
      </c>
      <c r="P26" s="5">
        <v>135</v>
      </c>
      <c r="Q26" s="5" t="s">
        <v>17</v>
      </c>
      <c r="R26" s="7" t="s">
        <v>8</v>
      </c>
      <c r="S26" s="12">
        <f t="shared" si="0"/>
        <v>1995</v>
      </c>
    </row>
    <row r="27" spans="12:19" x14ac:dyDescent="0.25">
      <c r="L27" s="5" t="s">
        <v>11</v>
      </c>
      <c r="M27" s="5" t="s">
        <v>27</v>
      </c>
      <c r="N27" s="11">
        <v>35</v>
      </c>
      <c r="O27" s="5">
        <v>98</v>
      </c>
      <c r="P27" s="5">
        <v>147</v>
      </c>
      <c r="Q27" s="5" t="s">
        <v>18</v>
      </c>
      <c r="R27" s="7" t="s">
        <v>6</v>
      </c>
      <c r="S27" s="12">
        <f t="shared" si="0"/>
        <v>3430</v>
      </c>
    </row>
    <row r="28" spans="12:19" x14ac:dyDescent="0.25">
      <c r="L28" s="5" t="s">
        <v>11</v>
      </c>
      <c r="M28" s="5" t="s">
        <v>27</v>
      </c>
      <c r="N28" s="11">
        <v>35</v>
      </c>
      <c r="O28" s="5">
        <v>67</v>
      </c>
      <c r="P28" s="5">
        <v>157</v>
      </c>
      <c r="Q28" s="5" t="s">
        <v>18</v>
      </c>
      <c r="R28" s="7" t="s">
        <v>8</v>
      </c>
      <c r="S28" s="12">
        <f t="shared" si="0"/>
        <v>2345</v>
      </c>
    </row>
    <row r="29" spans="12:19" x14ac:dyDescent="0.25">
      <c r="L29" s="5" t="s">
        <v>11</v>
      </c>
      <c r="M29" s="5" t="s">
        <v>27</v>
      </c>
      <c r="N29" s="11">
        <v>35</v>
      </c>
      <c r="O29" s="5">
        <v>55</v>
      </c>
      <c r="P29" s="5">
        <v>146</v>
      </c>
      <c r="Q29" s="5" t="s">
        <v>19</v>
      </c>
      <c r="R29" s="7" t="s">
        <v>6</v>
      </c>
      <c r="S29" s="12">
        <f t="shared" si="0"/>
        <v>1925</v>
      </c>
    </row>
    <row r="30" spans="12:19" x14ac:dyDescent="0.25">
      <c r="L30" s="5" t="s">
        <v>11</v>
      </c>
      <c r="M30" s="5" t="s">
        <v>27</v>
      </c>
      <c r="N30" s="11">
        <v>35</v>
      </c>
      <c r="O30" s="5">
        <v>45</v>
      </c>
      <c r="P30" s="5">
        <v>134</v>
      </c>
      <c r="Q30" s="5" t="s">
        <v>19</v>
      </c>
      <c r="R30" s="7" t="s">
        <v>6</v>
      </c>
      <c r="S30" s="12">
        <f t="shared" si="0"/>
        <v>1575</v>
      </c>
    </row>
    <row r="31" spans="12:19" x14ac:dyDescent="0.25">
      <c r="L31" s="5" t="s">
        <v>11</v>
      </c>
      <c r="M31" s="5" t="s">
        <v>27</v>
      </c>
      <c r="N31" s="11">
        <v>35</v>
      </c>
      <c r="O31" s="5">
        <v>45</v>
      </c>
      <c r="P31" s="5">
        <v>173</v>
      </c>
      <c r="Q31" s="5" t="s">
        <v>20</v>
      </c>
      <c r="R31" s="7" t="s">
        <v>8</v>
      </c>
      <c r="S31" s="12">
        <f t="shared" si="0"/>
        <v>1575</v>
      </c>
    </row>
    <row r="32" spans="12:19" x14ac:dyDescent="0.25">
      <c r="L32" s="5" t="s">
        <v>11</v>
      </c>
      <c r="M32" s="5" t="s">
        <v>27</v>
      </c>
      <c r="N32" s="11">
        <v>35</v>
      </c>
      <c r="O32" s="5">
        <v>34</v>
      </c>
      <c r="P32" s="5">
        <v>193</v>
      </c>
      <c r="Q32" s="5" t="s">
        <v>20</v>
      </c>
      <c r="R32" s="7" t="s">
        <v>6</v>
      </c>
      <c r="S32" s="12">
        <f t="shared" si="0"/>
        <v>1190</v>
      </c>
    </row>
    <row r="33" spans="12:19" x14ac:dyDescent="0.25">
      <c r="L33" s="5" t="s">
        <v>11</v>
      </c>
      <c r="M33" s="5" t="s">
        <v>27</v>
      </c>
      <c r="N33" s="11">
        <v>35</v>
      </c>
      <c r="O33" s="5">
        <v>29</v>
      </c>
      <c r="P33" s="5">
        <v>135</v>
      </c>
      <c r="Q33" s="5" t="s">
        <v>21</v>
      </c>
      <c r="R33" s="7" t="s">
        <v>8</v>
      </c>
      <c r="S33" s="12">
        <f t="shared" si="0"/>
        <v>1015</v>
      </c>
    </row>
    <row r="34" spans="12:19" x14ac:dyDescent="0.25">
      <c r="L34" s="5" t="s">
        <v>11</v>
      </c>
      <c r="M34" s="5" t="s">
        <v>27</v>
      </c>
      <c r="N34" s="11">
        <v>35</v>
      </c>
      <c r="O34" s="5">
        <v>24</v>
      </c>
      <c r="P34" s="5">
        <v>156</v>
      </c>
      <c r="Q34" s="5" t="s">
        <v>21</v>
      </c>
      <c r="R34" s="7" t="s">
        <v>6</v>
      </c>
      <c r="S34" s="12">
        <f t="shared" si="0"/>
        <v>840</v>
      </c>
    </row>
    <row r="35" spans="12:19" x14ac:dyDescent="0.25">
      <c r="L35" s="5" t="s">
        <v>11</v>
      </c>
      <c r="M35" s="5" t="s">
        <v>27</v>
      </c>
      <c r="N35" s="11">
        <v>35</v>
      </c>
      <c r="O35" s="5">
        <v>48</v>
      </c>
      <c r="P35" s="5">
        <v>153</v>
      </c>
      <c r="Q35" s="5" t="s">
        <v>22</v>
      </c>
      <c r="R35" s="7" t="s">
        <v>8</v>
      </c>
      <c r="S35" s="12">
        <f t="shared" si="0"/>
        <v>1680</v>
      </c>
    </row>
    <row r="36" spans="12:19" x14ac:dyDescent="0.25">
      <c r="L36" s="5" t="s">
        <v>11</v>
      </c>
      <c r="M36" s="5" t="s">
        <v>27</v>
      </c>
      <c r="N36" s="11">
        <v>35</v>
      </c>
      <c r="O36" s="5">
        <v>89</v>
      </c>
      <c r="P36" s="5">
        <v>158</v>
      </c>
      <c r="Q36" s="5" t="s">
        <v>22</v>
      </c>
      <c r="R36" s="7" t="s">
        <v>6</v>
      </c>
      <c r="S36" s="12">
        <f t="shared" si="0"/>
        <v>3115</v>
      </c>
    </row>
    <row r="37" spans="12:19" x14ac:dyDescent="0.25">
      <c r="L37" s="5" t="s">
        <v>4</v>
      </c>
      <c r="M37" s="5" t="s">
        <v>27</v>
      </c>
      <c r="N37" s="11">
        <v>60</v>
      </c>
      <c r="O37" s="5">
        <v>31</v>
      </c>
      <c r="P37" s="5">
        <v>12</v>
      </c>
      <c r="Q37" s="6" t="s">
        <v>7</v>
      </c>
      <c r="R37" s="7" t="s">
        <v>6</v>
      </c>
      <c r="S37" s="12">
        <f t="shared" si="0"/>
        <v>1860</v>
      </c>
    </row>
    <row r="38" spans="12:19" x14ac:dyDescent="0.25">
      <c r="L38" s="5" t="s">
        <v>4</v>
      </c>
      <c r="M38" s="5" t="s">
        <v>27</v>
      </c>
      <c r="N38" s="11">
        <v>60</v>
      </c>
      <c r="O38" s="5">
        <v>48</v>
      </c>
      <c r="P38" s="5">
        <v>19</v>
      </c>
      <c r="Q38" s="5" t="s">
        <v>7</v>
      </c>
      <c r="R38" s="7" t="s">
        <v>8</v>
      </c>
      <c r="S38" s="12">
        <f t="shared" si="0"/>
        <v>2880</v>
      </c>
    </row>
    <row r="39" spans="12:19" x14ac:dyDescent="0.25">
      <c r="L39" s="5" t="s">
        <v>4</v>
      </c>
      <c r="M39" s="5" t="s">
        <v>27</v>
      </c>
      <c r="N39" s="11">
        <v>60</v>
      </c>
      <c r="O39" s="5">
        <v>30</v>
      </c>
      <c r="P39" s="5">
        <v>18</v>
      </c>
      <c r="Q39" s="5" t="s">
        <v>12</v>
      </c>
      <c r="R39" s="7" t="s">
        <v>6</v>
      </c>
      <c r="S39" s="12">
        <f t="shared" si="0"/>
        <v>1800</v>
      </c>
    </row>
    <row r="40" spans="12:19" x14ac:dyDescent="0.25">
      <c r="L40" s="5" t="s">
        <v>4</v>
      </c>
      <c r="M40" s="5" t="s">
        <v>27</v>
      </c>
      <c r="N40" s="11">
        <v>60</v>
      </c>
      <c r="O40" s="5">
        <v>34</v>
      </c>
      <c r="P40" s="5">
        <v>23</v>
      </c>
      <c r="Q40" s="5" t="s">
        <v>12</v>
      </c>
      <c r="R40" s="7" t="s">
        <v>8</v>
      </c>
      <c r="S40" s="12">
        <f t="shared" si="0"/>
        <v>2040</v>
      </c>
    </row>
    <row r="41" spans="12:19" x14ac:dyDescent="0.25">
      <c r="L41" s="5" t="s">
        <v>4</v>
      </c>
      <c r="M41" s="5" t="s">
        <v>27</v>
      </c>
      <c r="N41" s="11">
        <v>60</v>
      </c>
      <c r="O41" s="5">
        <v>23</v>
      </c>
      <c r="P41" s="5">
        <v>12</v>
      </c>
      <c r="Q41" s="5" t="s">
        <v>13</v>
      </c>
      <c r="R41" s="7" t="s">
        <v>6</v>
      </c>
      <c r="S41" s="12">
        <f t="shared" si="0"/>
        <v>1380</v>
      </c>
    </row>
    <row r="42" spans="12:19" x14ac:dyDescent="0.25">
      <c r="L42" s="5" t="s">
        <v>4</v>
      </c>
      <c r="M42" s="5" t="s">
        <v>27</v>
      </c>
      <c r="N42" s="11">
        <v>60</v>
      </c>
      <c r="O42" s="5">
        <v>35</v>
      </c>
      <c r="P42" s="5">
        <v>17</v>
      </c>
      <c r="Q42" s="5" t="s">
        <v>13</v>
      </c>
      <c r="R42" s="7" t="s">
        <v>8</v>
      </c>
      <c r="S42" s="12">
        <f t="shared" si="0"/>
        <v>2100</v>
      </c>
    </row>
    <row r="43" spans="12:19" x14ac:dyDescent="0.25">
      <c r="L43" s="5" t="s">
        <v>4</v>
      </c>
      <c r="M43" s="5" t="s">
        <v>27</v>
      </c>
      <c r="N43" s="11">
        <v>60</v>
      </c>
      <c r="O43" s="5">
        <v>34</v>
      </c>
      <c r="P43" s="5">
        <v>17</v>
      </c>
      <c r="Q43" s="5" t="s">
        <v>14</v>
      </c>
      <c r="R43" s="7" t="s">
        <v>6</v>
      </c>
      <c r="S43" s="12">
        <f t="shared" si="0"/>
        <v>2040</v>
      </c>
    </row>
    <row r="44" spans="12:19" x14ac:dyDescent="0.25">
      <c r="L44" s="5" t="s">
        <v>4</v>
      </c>
      <c r="M44" s="5" t="s">
        <v>27</v>
      </c>
      <c r="N44" s="11">
        <v>60</v>
      </c>
      <c r="O44" s="5">
        <v>27</v>
      </c>
      <c r="P44" s="5">
        <v>38</v>
      </c>
      <c r="Q44" s="5" t="s">
        <v>14</v>
      </c>
      <c r="R44" s="7" t="s">
        <v>8</v>
      </c>
      <c r="S44" s="12">
        <f t="shared" si="0"/>
        <v>1620</v>
      </c>
    </row>
    <row r="45" spans="12:19" x14ac:dyDescent="0.25">
      <c r="L45" s="5" t="s">
        <v>4</v>
      </c>
      <c r="M45" s="5" t="s">
        <v>27</v>
      </c>
      <c r="N45" s="11">
        <v>60</v>
      </c>
      <c r="O45" s="5">
        <v>37</v>
      </c>
      <c r="P45" s="5">
        <v>56</v>
      </c>
      <c r="Q45" s="5" t="s">
        <v>15</v>
      </c>
      <c r="R45" s="7" t="s">
        <v>6</v>
      </c>
      <c r="S45" s="12">
        <f t="shared" ref="S45:S76" si="1">N45*O45</f>
        <v>2220</v>
      </c>
    </row>
    <row r="46" spans="12:19" x14ac:dyDescent="0.25">
      <c r="L46" s="5" t="s">
        <v>4</v>
      </c>
      <c r="M46" s="5" t="s">
        <v>27</v>
      </c>
      <c r="N46" s="11">
        <v>60</v>
      </c>
      <c r="O46" s="5">
        <v>48</v>
      </c>
      <c r="P46" s="5">
        <v>15</v>
      </c>
      <c r="Q46" s="5" t="s">
        <v>15</v>
      </c>
      <c r="R46" s="7" t="s">
        <v>8</v>
      </c>
      <c r="S46" s="12">
        <f t="shared" si="1"/>
        <v>2880</v>
      </c>
    </row>
    <row r="47" spans="12:19" x14ac:dyDescent="0.25">
      <c r="L47" s="5" t="s">
        <v>4</v>
      </c>
      <c r="M47" s="5" t="s">
        <v>27</v>
      </c>
      <c r="N47" s="11">
        <v>60</v>
      </c>
      <c r="O47" s="5">
        <v>36</v>
      </c>
      <c r="P47" s="5">
        <v>15</v>
      </c>
      <c r="Q47" s="5" t="s">
        <v>16</v>
      </c>
      <c r="R47" s="7" t="s">
        <v>6</v>
      </c>
      <c r="S47" s="12">
        <f t="shared" si="1"/>
        <v>2160</v>
      </c>
    </row>
    <row r="48" spans="12:19" x14ac:dyDescent="0.25">
      <c r="L48" s="5" t="s">
        <v>4</v>
      </c>
      <c r="M48" s="5" t="s">
        <v>27</v>
      </c>
      <c r="N48" s="11">
        <v>60</v>
      </c>
      <c r="O48" s="5">
        <v>27</v>
      </c>
      <c r="P48" s="5">
        <v>12</v>
      </c>
      <c r="Q48" s="5" t="s">
        <v>16</v>
      </c>
      <c r="R48" s="7" t="s">
        <v>8</v>
      </c>
      <c r="S48" s="12">
        <f t="shared" si="1"/>
        <v>1620</v>
      </c>
    </row>
    <row r="49" spans="12:19" x14ac:dyDescent="0.25">
      <c r="L49" s="5" t="s">
        <v>4</v>
      </c>
      <c r="M49" s="5" t="s">
        <v>27</v>
      </c>
      <c r="N49" s="11">
        <v>60</v>
      </c>
      <c r="O49" s="5">
        <v>35</v>
      </c>
      <c r="P49" s="5">
        <v>25</v>
      </c>
      <c r="Q49" s="5" t="s">
        <v>17</v>
      </c>
      <c r="R49" s="7" t="s">
        <v>6</v>
      </c>
      <c r="S49" s="12">
        <f t="shared" si="1"/>
        <v>2100</v>
      </c>
    </row>
    <row r="50" spans="12:19" x14ac:dyDescent="0.25">
      <c r="L50" s="5" t="s">
        <v>4</v>
      </c>
      <c r="M50" s="5" t="s">
        <v>27</v>
      </c>
      <c r="N50" s="11">
        <v>60</v>
      </c>
      <c r="O50" s="5">
        <v>38</v>
      </c>
      <c r="P50" s="5">
        <v>35</v>
      </c>
      <c r="Q50" s="5" t="s">
        <v>17</v>
      </c>
      <c r="R50" s="7" t="s">
        <v>8</v>
      </c>
      <c r="S50" s="12">
        <f t="shared" si="1"/>
        <v>2280</v>
      </c>
    </row>
    <row r="51" spans="12:19" x14ac:dyDescent="0.25">
      <c r="L51" s="5" t="s">
        <v>4</v>
      </c>
      <c r="M51" s="5" t="s">
        <v>27</v>
      </c>
      <c r="N51" s="11">
        <v>60</v>
      </c>
      <c r="O51" s="5">
        <v>38</v>
      </c>
      <c r="P51" s="5">
        <v>47</v>
      </c>
      <c r="Q51" s="5" t="s">
        <v>18</v>
      </c>
      <c r="R51" s="7" t="s">
        <v>6</v>
      </c>
      <c r="S51" s="12">
        <f t="shared" si="1"/>
        <v>2280</v>
      </c>
    </row>
    <row r="52" spans="12:19" x14ac:dyDescent="0.25">
      <c r="L52" s="5" t="s">
        <v>4</v>
      </c>
      <c r="M52" s="5" t="s">
        <v>27</v>
      </c>
      <c r="N52" s="11">
        <v>60</v>
      </c>
      <c r="O52" s="5">
        <v>37</v>
      </c>
      <c r="P52" s="5">
        <v>57</v>
      </c>
      <c r="Q52" s="5" t="s">
        <v>18</v>
      </c>
      <c r="R52" s="7" t="s">
        <v>8</v>
      </c>
      <c r="S52" s="12">
        <f t="shared" si="1"/>
        <v>2220</v>
      </c>
    </row>
    <row r="53" spans="12:19" x14ac:dyDescent="0.25">
      <c r="L53" s="5" t="s">
        <v>4</v>
      </c>
      <c r="M53" s="5" t="s">
        <v>27</v>
      </c>
      <c r="N53" s="11">
        <v>60</v>
      </c>
      <c r="O53" s="5">
        <v>25</v>
      </c>
      <c r="P53" s="5">
        <v>46</v>
      </c>
      <c r="Q53" s="5" t="s">
        <v>19</v>
      </c>
      <c r="R53" s="7" t="s">
        <v>6</v>
      </c>
      <c r="S53" s="12">
        <f t="shared" si="1"/>
        <v>1500</v>
      </c>
    </row>
    <row r="54" spans="12:19" x14ac:dyDescent="0.25">
      <c r="L54" s="5" t="s">
        <v>4</v>
      </c>
      <c r="M54" s="5" t="s">
        <v>27</v>
      </c>
      <c r="N54" s="11">
        <v>60</v>
      </c>
      <c r="O54" s="5">
        <v>5</v>
      </c>
      <c r="P54" s="5">
        <v>34</v>
      </c>
      <c r="Q54" s="5" t="s">
        <v>19</v>
      </c>
      <c r="R54" s="7" t="s">
        <v>6</v>
      </c>
      <c r="S54" s="12">
        <f t="shared" si="1"/>
        <v>300</v>
      </c>
    </row>
    <row r="55" spans="12:19" x14ac:dyDescent="0.25">
      <c r="L55" s="5" t="s">
        <v>4</v>
      </c>
      <c r="M55" s="5" t="s">
        <v>27</v>
      </c>
      <c r="N55" s="11">
        <v>60</v>
      </c>
      <c r="O55" s="5">
        <v>15</v>
      </c>
      <c r="P55" s="5">
        <v>13</v>
      </c>
      <c r="Q55" s="5" t="s">
        <v>20</v>
      </c>
      <c r="R55" s="7" t="s">
        <v>8</v>
      </c>
      <c r="S55" s="12">
        <f t="shared" si="1"/>
        <v>900</v>
      </c>
    </row>
    <row r="56" spans="12:19" x14ac:dyDescent="0.25">
      <c r="L56" s="5" t="s">
        <v>4</v>
      </c>
      <c r="M56" s="5" t="s">
        <v>27</v>
      </c>
      <c r="N56" s="11">
        <v>60</v>
      </c>
      <c r="O56" s="5">
        <v>14</v>
      </c>
      <c r="P56" s="5">
        <v>19</v>
      </c>
      <c r="Q56" s="5" t="s">
        <v>20</v>
      </c>
      <c r="R56" s="7" t="s">
        <v>6</v>
      </c>
      <c r="S56" s="12">
        <f t="shared" si="1"/>
        <v>840</v>
      </c>
    </row>
    <row r="57" spans="12:19" x14ac:dyDescent="0.25">
      <c r="L57" s="5" t="s">
        <v>4</v>
      </c>
      <c r="M57" s="5" t="s">
        <v>27</v>
      </c>
      <c r="N57" s="11">
        <v>60</v>
      </c>
      <c r="O57" s="5">
        <v>19</v>
      </c>
      <c r="P57" s="5">
        <v>35</v>
      </c>
      <c r="Q57" s="5" t="s">
        <v>21</v>
      </c>
      <c r="R57" s="7" t="s">
        <v>8</v>
      </c>
      <c r="S57" s="12">
        <f t="shared" si="1"/>
        <v>1140</v>
      </c>
    </row>
    <row r="58" spans="12:19" x14ac:dyDescent="0.25">
      <c r="L58" s="5" t="s">
        <v>4</v>
      </c>
      <c r="M58" s="5" t="s">
        <v>27</v>
      </c>
      <c r="N58" s="11">
        <v>60</v>
      </c>
      <c r="O58" s="5">
        <v>39</v>
      </c>
      <c r="P58" s="5">
        <v>56</v>
      </c>
      <c r="Q58" s="5" t="s">
        <v>21</v>
      </c>
      <c r="R58" s="7" t="s">
        <v>6</v>
      </c>
      <c r="S58" s="12">
        <f t="shared" si="1"/>
        <v>2340</v>
      </c>
    </row>
    <row r="59" spans="12:19" x14ac:dyDescent="0.25">
      <c r="L59" s="5" t="s">
        <v>4</v>
      </c>
      <c r="M59" s="5" t="s">
        <v>27</v>
      </c>
      <c r="N59" s="11">
        <v>60</v>
      </c>
      <c r="O59" s="5">
        <v>38</v>
      </c>
      <c r="P59" s="5">
        <v>13</v>
      </c>
      <c r="Q59" s="5" t="s">
        <v>22</v>
      </c>
      <c r="R59" s="7" t="s">
        <v>8</v>
      </c>
      <c r="S59" s="12">
        <f t="shared" si="1"/>
        <v>2280</v>
      </c>
    </row>
    <row r="60" spans="12:19" x14ac:dyDescent="0.25">
      <c r="L60" s="5" t="s">
        <v>4</v>
      </c>
      <c r="M60" s="5" t="s">
        <v>27</v>
      </c>
      <c r="N60" s="11">
        <v>60</v>
      </c>
      <c r="O60" s="5">
        <v>49</v>
      </c>
      <c r="P60" s="5">
        <v>58</v>
      </c>
      <c r="Q60" s="5" t="s">
        <v>22</v>
      </c>
      <c r="R60" s="7" t="s">
        <v>6</v>
      </c>
      <c r="S60" s="12">
        <f t="shared" si="1"/>
        <v>2940</v>
      </c>
    </row>
    <row r="61" spans="12:19" x14ac:dyDescent="0.25">
      <c r="L61" s="5" t="s">
        <v>23</v>
      </c>
      <c r="M61" s="5" t="s">
        <v>27</v>
      </c>
      <c r="N61" s="11">
        <v>100</v>
      </c>
      <c r="O61" s="5">
        <v>21</v>
      </c>
      <c r="P61" s="5">
        <v>22</v>
      </c>
      <c r="Q61" s="6" t="s">
        <v>7</v>
      </c>
      <c r="R61" s="7" t="s">
        <v>6</v>
      </c>
      <c r="S61" s="12">
        <f t="shared" si="1"/>
        <v>2100</v>
      </c>
    </row>
    <row r="62" spans="12:19" x14ac:dyDescent="0.25">
      <c r="L62" s="5" t="s">
        <v>23</v>
      </c>
      <c r="M62" s="5" t="s">
        <v>27</v>
      </c>
      <c r="N62" s="11">
        <v>100</v>
      </c>
      <c r="O62" s="5">
        <v>28</v>
      </c>
      <c r="P62" s="5">
        <v>39</v>
      </c>
      <c r="Q62" s="5" t="s">
        <v>7</v>
      </c>
      <c r="R62" s="7" t="s">
        <v>8</v>
      </c>
      <c r="S62" s="12">
        <f t="shared" si="1"/>
        <v>2800</v>
      </c>
    </row>
    <row r="63" spans="12:19" x14ac:dyDescent="0.25">
      <c r="L63" s="5" t="s">
        <v>23</v>
      </c>
      <c r="M63" s="5" t="s">
        <v>27</v>
      </c>
      <c r="N63" s="11">
        <v>100</v>
      </c>
      <c r="O63" s="5">
        <v>12</v>
      </c>
      <c r="P63" s="5">
        <v>68</v>
      </c>
      <c r="Q63" s="5" t="s">
        <v>12</v>
      </c>
      <c r="R63" s="7" t="s">
        <v>6</v>
      </c>
      <c r="S63" s="12">
        <f t="shared" si="1"/>
        <v>1200</v>
      </c>
    </row>
    <row r="64" spans="12:19" x14ac:dyDescent="0.25">
      <c r="L64" s="5" t="s">
        <v>23</v>
      </c>
      <c r="M64" s="5" t="s">
        <v>27</v>
      </c>
      <c r="N64" s="11">
        <v>100</v>
      </c>
      <c r="O64" s="5">
        <v>7</v>
      </c>
      <c r="P64" s="5">
        <v>73</v>
      </c>
      <c r="Q64" s="5" t="s">
        <v>12</v>
      </c>
      <c r="R64" s="7" t="s">
        <v>8</v>
      </c>
      <c r="S64" s="12">
        <f t="shared" si="1"/>
        <v>700</v>
      </c>
    </row>
    <row r="65" spans="12:19" x14ac:dyDescent="0.25">
      <c r="L65" s="5" t="s">
        <v>23</v>
      </c>
      <c r="M65" s="5" t="s">
        <v>27</v>
      </c>
      <c r="N65" s="11">
        <v>100</v>
      </c>
      <c r="O65" s="5">
        <v>20</v>
      </c>
      <c r="P65" s="5">
        <v>42</v>
      </c>
      <c r="Q65" s="5" t="s">
        <v>13</v>
      </c>
      <c r="R65" s="7" t="s">
        <v>6</v>
      </c>
      <c r="S65" s="12">
        <f t="shared" si="1"/>
        <v>2000</v>
      </c>
    </row>
    <row r="66" spans="12:19" x14ac:dyDescent="0.25">
      <c r="L66" s="5" t="s">
        <v>23</v>
      </c>
      <c r="M66" s="5" t="s">
        <v>27</v>
      </c>
      <c r="N66" s="11">
        <v>100</v>
      </c>
      <c r="O66" s="5">
        <v>15</v>
      </c>
      <c r="P66" s="5">
        <v>27</v>
      </c>
      <c r="Q66" s="5" t="s">
        <v>13</v>
      </c>
      <c r="R66" s="7" t="s">
        <v>8</v>
      </c>
      <c r="S66" s="12">
        <f t="shared" si="1"/>
        <v>1500</v>
      </c>
    </row>
    <row r="67" spans="12:19" x14ac:dyDescent="0.25">
      <c r="L67" s="5" t="s">
        <v>23</v>
      </c>
      <c r="M67" s="5" t="s">
        <v>27</v>
      </c>
      <c r="N67" s="11">
        <v>100</v>
      </c>
      <c r="O67" s="5">
        <v>26</v>
      </c>
      <c r="P67" s="5">
        <v>57</v>
      </c>
      <c r="Q67" s="5" t="s">
        <v>14</v>
      </c>
      <c r="R67" s="7" t="s">
        <v>6</v>
      </c>
      <c r="S67" s="12">
        <f t="shared" si="1"/>
        <v>2600</v>
      </c>
    </row>
    <row r="68" spans="12:19" x14ac:dyDescent="0.25">
      <c r="L68" s="5" t="s">
        <v>23</v>
      </c>
      <c r="M68" s="5" t="s">
        <v>27</v>
      </c>
      <c r="N68" s="11">
        <v>100</v>
      </c>
      <c r="O68" s="5">
        <v>17</v>
      </c>
      <c r="P68" s="5">
        <v>37</v>
      </c>
      <c r="Q68" s="5" t="s">
        <v>14</v>
      </c>
      <c r="R68" s="7" t="s">
        <v>8</v>
      </c>
      <c r="S68" s="12">
        <f t="shared" si="1"/>
        <v>1700</v>
      </c>
    </row>
    <row r="69" spans="12:19" x14ac:dyDescent="0.25">
      <c r="L69" s="5" t="s">
        <v>23</v>
      </c>
      <c r="M69" s="5" t="s">
        <v>27</v>
      </c>
      <c r="N69" s="11">
        <v>100</v>
      </c>
      <c r="O69" s="5">
        <v>17</v>
      </c>
      <c r="P69" s="5">
        <v>46</v>
      </c>
      <c r="Q69" s="5" t="s">
        <v>15</v>
      </c>
      <c r="R69" s="7" t="s">
        <v>6</v>
      </c>
      <c r="S69" s="12">
        <f t="shared" si="1"/>
        <v>1700</v>
      </c>
    </row>
    <row r="70" spans="12:19" x14ac:dyDescent="0.25">
      <c r="L70" s="5" t="s">
        <v>23</v>
      </c>
      <c r="M70" s="5" t="s">
        <v>27</v>
      </c>
      <c r="N70" s="11">
        <v>100</v>
      </c>
      <c r="O70" s="5">
        <v>12</v>
      </c>
      <c r="P70" s="5">
        <v>75</v>
      </c>
      <c r="Q70" s="5" t="s">
        <v>15</v>
      </c>
      <c r="R70" s="7" t="s">
        <v>8</v>
      </c>
      <c r="S70" s="12">
        <f t="shared" si="1"/>
        <v>1200</v>
      </c>
    </row>
    <row r="71" spans="12:19" x14ac:dyDescent="0.25">
      <c r="L71" s="5" t="s">
        <v>23</v>
      </c>
      <c r="M71" s="5" t="s">
        <v>27</v>
      </c>
      <c r="N71" s="11">
        <v>100</v>
      </c>
      <c r="O71" s="5">
        <v>26</v>
      </c>
      <c r="P71" s="5">
        <v>75</v>
      </c>
      <c r="Q71" s="5" t="s">
        <v>16</v>
      </c>
      <c r="R71" s="7" t="s">
        <v>6</v>
      </c>
      <c r="S71" s="12">
        <f t="shared" si="1"/>
        <v>2600</v>
      </c>
    </row>
    <row r="72" spans="12:19" x14ac:dyDescent="0.25">
      <c r="L72" s="5" t="s">
        <v>23</v>
      </c>
      <c r="M72" s="5" t="s">
        <v>27</v>
      </c>
      <c r="N72" s="11">
        <v>100</v>
      </c>
      <c r="O72" s="5">
        <v>37</v>
      </c>
      <c r="P72" s="5">
        <v>72</v>
      </c>
      <c r="Q72" s="5" t="s">
        <v>16</v>
      </c>
      <c r="R72" s="7" t="s">
        <v>8</v>
      </c>
      <c r="S72" s="12">
        <f t="shared" si="1"/>
        <v>3700</v>
      </c>
    </row>
    <row r="73" spans="12:19" x14ac:dyDescent="0.25">
      <c r="L73" s="5" t="s">
        <v>23</v>
      </c>
      <c r="M73" s="5" t="s">
        <v>27</v>
      </c>
      <c r="N73" s="11">
        <v>100</v>
      </c>
      <c r="O73" s="5">
        <v>25</v>
      </c>
      <c r="P73" s="5">
        <v>55</v>
      </c>
      <c r="Q73" s="5" t="s">
        <v>17</v>
      </c>
      <c r="R73" s="7" t="s">
        <v>6</v>
      </c>
      <c r="S73" s="12">
        <f t="shared" si="1"/>
        <v>2500</v>
      </c>
    </row>
    <row r="74" spans="12:19" x14ac:dyDescent="0.25">
      <c r="L74" s="5" t="s">
        <v>23</v>
      </c>
      <c r="M74" s="5" t="s">
        <v>27</v>
      </c>
      <c r="N74" s="11">
        <v>100</v>
      </c>
      <c r="O74" s="5">
        <v>28</v>
      </c>
      <c r="P74" s="5">
        <v>75</v>
      </c>
      <c r="Q74" s="5" t="s">
        <v>17</v>
      </c>
      <c r="R74" s="7" t="s">
        <v>8</v>
      </c>
      <c r="S74" s="12">
        <f t="shared" si="1"/>
        <v>2800</v>
      </c>
    </row>
    <row r="75" spans="12:19" x14ac:dyDescent="0.25">
      <c r="L75" s="5" t="s">
        <v>23</v>
      </c>
      <c r="M75" s="5" t="s">
        <v>27</v>
      </c>
      <c r="N75" s="11">
        <v>100</v>
      </c>
      <c r="O75" s="5">
        <v>23</v>
      </c>
      <c r="P75" s="5">
        <v>47</v>
      </c>
      <c r="Q75" s="5" t="s">
        <v>18</v>
      </c>
      <c r="R75" s="7" t="s">
        <v>6</v>
      </c>
      <c r="S75" s="12">
        <f t="shared" si="1"/>
        <v>2300</v>
      </c>
    </row>
    <row r="76" spans="12:19" x14ac:dyDescent="0.25">
      <c r="L76" s="5" t="s">
        <v>23</v>
      </c>
      <c r="M76" s="5" t="s">
        <v>27</v>
      </c>
      <c r="N76" s="11">
        <v>100</v>
      </c>
      <c r="O76" s="5">
        <v>27</v>
      </c>
      <c r="P76" s="5">
        <v>57</v>
      </c>
      <c r="Q76" s="5" t="s">
        <v>18</v>
      </c>
      <c r="R76" s="7" t="s">
        <v>8</v>
      </c>
      <c r="S76" s="12">
        <f t="shared" si="1"/>
        <v>2700</v>
      </c>
    </row>
    <row r="77" spans="12:19" x14ac:dyDescent="0.25">
      <c r="L77" s="5" t="s">
        <v>23</v>
      </c>
      <c r="M77" s="5" t="s">
        <v>27</v>
      </c>
      <c r="N77" s="11">
        <v>100</v>
      </c>
      <c r="O77" s="5">
        <v>33</v>
      </c>
      <c r="P77" s="5">
        <v>46</v>
      </c>
      <c r="Q77" s="5" t="s">
        <v>19</v>
      </c>
      <c r="R77" s="7" t="s">
        <v>6</v>
      </c>
      <c r="S77" s="12">
        <f t="shared" ref="S77:S108" si="2">N77*O77</f>
        <v>3300</v>
      </c>
    </row>
    <row r="78" spans="12:19" x14ac:dyDescent="0.25">
      <c r="L78" s="5" t="s">
        <v>23</v>
      </c>
      <c r="M78" s="5" t="s">
        <v>27</v>
      </c>
      <c r="N78" s="11">
        <v>100</v>
      </c>
      <c r="O78" s="5">
        <v>27</v>
      </c>
      <c r="P78" s="5">
        <v>44</v>
      </c>
      <c r="Q78" s="5" t="s">
        <v>19</v>
      </c>
      <c r="R78" s="7" t="s">
        <v>6</v>
      </c>
      <c r="S78" s="12">
        <f t="shared" si="2"/>
        <v>2700</v>
      </c>
    </row>
    <row r="79" spans="12:19" x14ac:dyDescent="0.25">
      <c r="L79" s="5" t="s">
        <v>23</v>
      </c>
      <c r="M79" s="5" t="s">
        <v>27</v>
      </c>
      <c r="N79" s="11">
        <v>100</v>
      </c>
      <c r="O79" s="5">
        <v>25</v>
      </c>
      <c r="P79" s="5">
        <v>83</v>
      </c>
      <c r="Q79" s="5" t="s">
        <v>20</v>
      </c>
      <c r="R79" s="7" t="s">
        <v>8</v>
      </c>
      <c r="S79" s="12">
        <f t="shared" si="2"/>
        <v>2500</v>
      </c>
    </row>
    <row r="80" spans="12:19" x14ac:dyDescent="0.25">
      <c r="L80" s="5" t="s">
        <v>23</v>
      </c>
      <c r="M80" s="5" t="s">
        <v>27</v>
      </c>
      <c r="N80" s="11">
        <v>100</v>
      </c>
      <c r="O80" s="5">
        <v>36</v>
      </c>
      <c r="P80" s="5">
        <v>63</v>
      </c>
      <c r="Q80" s="5" t="s">
        <v>20</v>
      </c>
      <c r="R80" s="7" t="s">
        <v>6</v>
      </c>
      <c r="S80" s="12">
        <f t="shared" si="2"/>
        <v>3600</v>
      </c>
    </row>
    <row r="81" spans="12:19" x14ac:dyDescent="0.25">
      <c r="L81" s="5" t="s">
        <v>23</v>
      </c>
      <c r="M81" s="5" t="s">
        <v>27</v>
      </c>
      <c r="N81" s="11">
        <v>100</v>
      </c>
      <c r="O81" s="5">
        <v>39</v>
      </c>
      <c r="P81" s="5">
        <v>45</v>
      </c>
      <c r="Q81" s="5" t="s">
        <v>21</v>
      </c>
      <c r="R81" s="7" t="s">
        <v>8</v>
      </c>
      <c r="S81" s="12">
        <f t="shared" si="2"/>
        <v>3900</v>
      </c>
    </row>
    <row r="82" spans="12:19" x14ac:dyDescent="0.25">
      <c r="L82" s="5" t="s">
        <v>23</v>
      </c>
      <c r="M82" s="5" t="s">
        <v>27</v>
      </c>
      <c r="N82" s="11">
        <v>100</v>
      </c>
      <c r="O82" s="5">
        <v>29</v>
      </c>
      <c r="P82" s="5">
        <v>46</v>
      </c>
      <c r="Q82" s="5" t="s">
        <v>21</v>
      </c>
      <c r="R82" s="7" t="s">
        <v>6</v>
      </c>
      <c r="S82" s="12">
        <f t="shared" si="2"/>
        <v>2900</v>
      </c>
    </row>
    <row r="83" spans="12:19" x14ac:dyDescent="0.25">
      <c r="L83" s="5" t="s">
        <v>23</v>
      </c>
      <c r="M83" s="5" t="s">
        <v>27</v>
      </c>
      <c r="N83" s="11">
        <v>100</v>
      </c>
      <c r="O83" s="5">
        <v>48</v>
      </c>
      <c r="P83" s="5">
        <v>53</v>
      </c>
      <c r="Q83" s="5" t="s">
        <v>22</v>
      </c>
      <c r="R83" s="7" t="s">
        <v>8</v>
      </c>
      <c r="S83" s="12">
        <f t="shared" si="2"/>
        <v>4800</v>
      </c>
    </row>
    <row r="84" spans="12:19" x14ac:dyDescent="0.25">
      <c r="L84" s="5" t="s">
        <v>23</v>
      </c>
      <c r="M84" s="5" t="s">
        <v>27</v>
      </c>
      <c r="N84" s="11">
        <v>100</v>
      </c>
      <c r="O84" s="5">
        <v>19</v>
      </c>
      <c r="P84" s="5">
        <v>78</v>
      </c>
      <c r="Q84" s="5" t="s">
        <v>22</v>
      </c>
      <c r="R84" s="7" t="s">
        <v>6</v>
      </c>
      <c r="S84" s="12">
        <f t="shared" si="2"/>
        <v>1900</v>
      </c>
    </row>
    <row r="85" spans="12:19" x14ac:dyDescent="0.25">
      <c r="L85" s="5" t="s">
        <v>24</v>
      </c>
      <c r="M85" s="5" t="s">
        <v>27</v>
      </c>
      <c r="N85" s="11">
        <v>100</v>
      </c>
      <c r="O85" s="5">
        <v>14</v>
      </c>
      <c r="P85" s="5">
        <v>14</v>
      </c>
      <c r="Q85" s="6" t="s">
        <v>7</v>
      </c>
      <c r="R85" s="7" t="s">
        <v>6</v>
      </c>
      <c r="S85" s="12">
        <f t="shared" si="2"/>
        <v>1400</v>
      </c>
    </row>
    <row r="86" spans="12:19" x14ac:dyDescent="0.25">
      <c r="L86" s="5" t="s">
        <v>24</v>
      </c>
      <c r="M86" s="5" t="s">
        <v>27</v>
      </c>
      <c r="N86" s="11">
        <v>100</v>
      </c>
      <c r="O86" s="5">
        <v>18</v>
      </c>
      <c r="P86" s="5">
        <v>19</v>
      </c>
      <c r="Q86" s="5" t="s">
        <v>7</v>
      </c>
      <c r="R86" s="7" t="s">
        <v>8</v>
      </c>
      <c r="S86" s="12">
        <f t="shared" si="2"/>
        <v>1800</v>
      </c>
    </row>
    <row r="87" spans="12:19" x14ac:dyDescent="0.25">
      <c r="L87" s="5" t="s">
        <v>24</v>
      </c>
      <c r="M87" s="5" t="s">
        <v>27</v>
      </c>
      <c r="N87" s="11">
        <v>100</v>
      </c>
      <c r="O87" s="5">
        <v>15</v>
      </c>
      <c r="P87" s="5">
        <v>58</v>
      </c>
      <c r="Q87" s="5" t="s">
        <v>12</v>
      </c>
      <c r="R87" s="7" t="s">
        <v>6</v>
      </c>
      <c r="S87" s="12">
        <f t="shared" si="2"/>
        <v>1500</v>
      </c>
    </row>
    <row r="88" spans="12:19" x14ac:dyDescent="0.25">
      <c r="L88" s="5" t="s">
        <v>24</v>
      </c>
      <c r="M88" s="5" t="s">
        <v>27</v>
      </c>
      <c r="N88" s="11">
        <v>100</v>
      </c>
      <c r="O88" s="5">
        <v>14</v>
      </c>
      <c r="P88" s="5">
        <v>45</v>
      </c>
      <c r="Q88" s="5" t="s">
        <v>12</v>
      </c>
      <c r="R88" s="7" t="s">
        <v>8</v>
      </c>
      <c r="S88" s="12">
        <f t="shared" si="2"/>
        <v>1400</v>
      </c>
    </row>
    <row r="89" spans="12:19" x14ac:dyDescent="0.25">
      <c r="L89" s="5" t="s">
        <v>24</v>
      </c>
      <c r="M89" s="5" t="s">
        <v>27</v>
      </c>
      <c r="N89" s="11">
        <v>100</v>
      </c>
      <c r="O89" s="5">
        <v>13</v>
      </c>
      <c r="P89" s="5">
        <v>76</v>
      </c>
      <c r="Q89" s="5" t="s">
        <v>13</v>
      </c>
      <c r="R89" s="7" t="s">
        <v>6</v>
      </c>
      <c r="S89" s="12">
        <f t="shared" si="2"/>
        <v>1300</v>
      </c>
    </row>
    <row r="90" spans="12:19" x14ac:dyDescent="0.25">
      <c r="L90" s="5" t="s">
        <v>24</v>
      </c>
      <c r="M90" s="5" t="s">
        <v>27</v>
      </c>
      <c r="N90" s="11">
        <v>100</v>
      </c>
      <c r="O90" s="5">
        <v>14</v>
      </c>
      <c r="P90" s="5">
        <v>97</v>
      </c>
      <c r="Q90" s="5" t="s">
        <v>13</v>
      </c>
      <c r="R90" s="7" t="s">
        <v>8</v>
      </c>
      <c r="S90" s="12">
        <f t="shared" si="2"/>
        <v>1400</v>
      </c>
    </row>
    <row r="91" spans="12:19" x14ac:dyDescent="0.25">
      <c r="L91" s="5" t="s">
        <v>24</v>
      </c>
      <c r="M91" s="5" t="s">
        <v>27</v>
      </c>
      <c r="N91" s="11">
        <v>100</v>
      </c>
      <c r="O91" s="5">
        <v>18</v>
      </c>
      <c r="P91" s="5">
        <v>87</v>
      </c>
      <c r="Q91" s="5" t="s">
        <v>14</v>
      </c>
      <c r="R91" s="7" t="s">
        <v>6</v>
      </c>
      <c r="S91" s="12">
        <f t="shared" si="2"/>
        <v>1800</v>
      </c>
    </row>
    <row r="92" spans="12:19" x14ac:dyDescent="0.25">
      <c r="L92" s="5" t="s">
        <v>24</v>
      </c>
      <c r="M92" s="5" t="s">
        <v>27</v>
      </c>
      <c r="N92" s="11">
        <v>100</v>
      </c>
      <c r="O92" s="5">
        <v>27</v>
      </c>
      <c r="P92" s="5">
        <v>37</v>
      </c>
      <c r="Q92" s="5" t="s">
        <v>14</v>
      </c>
      <c r="R92" s="7" t="s">
        <v>8</v>
      </c>
      <c r="S92" s="12">
        <f t="shared" si="2"/>
        <v>2700</v>
      </c>
    </row>
    <row r="93" spans="12:19" x14ac:dyDescent="0.25">
      <c r="L93" s="5" t="s">
        <v>24</v>
      </c>
      <c r="M93" s="5" t="s">
        <v>27</v>
      </c>
      <c r="N93" s="11">
        <v>100</v>
      </c>
      <c r="O93" s="5">
        <v>17</v>
      </c>
      <c r="P93" s="5">
        <v>56</v>
      </c>
      <c r="Q93" s="5" t="s">
        <v>15</v>
      </c>
      <c r="R93" s="7" t="s">
        <v>6</v>
      </c>
      <c r="S93" s="12">
        <f t="shared" si="2"/>
        <v>1700</v>
      </c>
    </row>
    <row r="94" spans="12:19" x14ac:dyDescent="0.25">
      <c r="L94" s="5" t="s">
        <v>24</v>
      </c>
      <c r="M94" s="5" t="s">
        <v>27</v>
      </c>
      <c r="N94" s="11">
        <v>100</v>
      </c>
      <c r="O94" s="5">
        <v>15</v>
      </c>
      <c r="P94" s="5">
        <v>75</v>
      </c>
      <c r="Q94" s="5" t="s">
        <v>15</v>
      </c>
      <c r="R94" s="7" t="s">
        <v>8</v>
      </c>
      <c r="S94" s="12">
        <f t="shared" si="2"/>
        <v>1500</v>
      </c>
    </row>
    <row r="95" spans="12:19" x14ac:dyDescent="0.25">
      <c r="L95" s="5" t="s">
        <v>24</v>
      </c>
      <c r="M95" s="5" t="s">
        <v>27</v>
      </c>
      <c r="N95" s="11">
        <v>100</v>
      </c>
      <c r="O95" s="5">
        <v>14</v>
      </c>
      <c r="P95" s="5">
        <v>75</v>
      </c>
      <c r="Q95" s="5" t="s">
        <v>16</v>
      </c>
      <c r="R95" s="7" t="s">
        <v>6</v>
      </c>
      <c r="S95" s="12">
        <f t="shared" si="2"/>
        <v>1400</v>
      </c>
    </row>
    <row r="96" spans="12:19" x14ac:dyDescent="0.25">
      <c r="L96" s="5" t="s">
        <v>24</v>
      </c>
      <c r="M96" s="5" t="s">
        <v>27</v>
      </c>
      <c r="N96" s="11">
        <v>100</v>
      </c>
      <c r="O96" s="5">
        <v>17</v>
      </c>
      <c r="P96" s="5">
        <v>72</v>
      </c>
      <c r="Q96" s="5" t="s">
        <v>16</v>
      </c>
      <c r="R96" s="7" t="s">
        <v>8</v>
      </c>
      <c r="S96" s="12">
        <f t="shared" si="2"/>
        <v>1700</v>
      </c>
    </row>
    <row r="97" spans="12:19" x14ac:dyDescent="0.25">
      <c r="L97" s="5" t="s">
        <v>24</v>
      </c>
      <c r="M97" s="5" t="s">
        <v>27</v>
      </c>
      <c r="N97" s="11">
        <v>100</v>
      </c>
      <c r="O97" s="5">
        <v>15</v>
      </c>
      <c r="P97" s="5">
        <v>75</v>
      </c>
      <c r="Q97" s="5" t="s">
        <v>17</v>
      </c>
      <c r="R97" s="7" t="s">
        <v>6</v>
      </c>
      <c r="S97" s="12">
        <f t="shared" si="2"/>
        <v>1500</v>
      </c>
    </row>
    <row r="98" spans="12:19" x14ac:dyDescent="0.25">
      <c r="L98" s="5" t="s">
        <v>24</v>
      </c>
      <c r="M98" s="5" t="s">
        <v>27</v>
      </c>
      <c r="N98" s="11">
        <v>100</v>
      </c>
      <c r="O98" s="5">
        <v>18</v>
      </c>
      <c r="P98" s="5">
        <v>76</v>
      </c>
      <c r="Q98" s="5" t="s">
        <v>17</v>
      </c>
      <c r="R98" s="7" t="s">
        <v>8</v>
      </c>
      <c r="S98" s="12">
        <f t="shared" si="2"/>
        <v>1800</v>
      </c>
    </row>
    <row r="99" spans="12:19" x14ac:dyDescent="0.25">
      <c r="L99" s="5" t="s">
        <v>24</v>
      </c>
      <c r="M99" s="5" t="s">
        <v>27</v>
      </c>
      <c r="N99" s="11">
        <v>100</v>
      </c>
      <c r="O99" s="5">
        <v>13</v>
      </c>
      <c r="P99" s="5">
        <v>87</v>
      </c>
      <c r="Q99" s="5" t="s">
        <v>18</v>
      </c>
      <c r="R99" s="7" t="s">
        <v>6</v>
      </c>
      <c r="S99" s="12">
        <f t="shared" si="2"/>
        <v>1300</v>
      </c>
    </row>
    <row r="100" spans="12:19" x14ac:dyDescent="0.25">
      <c r="L100" s="5" t="s">
        <v>24</v>
      </c>
      <c r="M100" s="5" t="s">
        <v>27</v>
      </c>
      <c r="N100" s="11">
        <v>100</v>
      </c>
      <c r="O100" s="5">
        <v>17</v>
      </c>
      <c r="P100" s="5">
        <v>22</v>
      </c>
      <c r="Q100" s="5" t="s">
        <v>18</v>
      </c>
      <c r="R100" s="7" t="s">
        <v>8</v>
      </c>
      <c r="S100" s="12">
        <f t="shared" si="2"/>
        <v>1700</v>
      </c>
    </row>
    <row r="101" spans="12:19" x14ac:dyDescent="0.25">
      <c r="L101" s="5" t="s">
        <v>24</v>
      </c>
      <c r="M101" s="5" t="s">
        <v>27</v>
      </c>
      <c r="N101" s="11">
        <v>100</v>
      </c>
      <c r="O101" s="5">
        <v>15</v>
      </c>
      <c r="P101" s="5">
        <v>45</v>
      </c>
      <c r="Q101" s="5" t="s">
        <v>19</v>
      </c>
      <c r="R101" s="7" t="s">
        <v>6</v>
      </c>
      <c r="S101" s="12">
        <f t="shared" si="2"/>
        <v>1500</v>
      </c>
    </row>
    <row r="102" spans="12:19" x14ac:dyDescent="0.25">
      <c r="L102" s="5" t="s">
        <v>24</v>
      </c>
      <c r="M102" s="5" t="s">
        <v>27</v>
      </c>
      <c r="N102" s="11">
        <v>100</v>
      </c>
      <c r="O102" s="5">
        <v>25</v>
      </c>
      <c r="P102" s="5">
        <v>87</v>
      </c>
      <c r="Q102" s="5" t="s">
        <v>19</v>
      </c>
      <c r="R102" s="7" t="s">
        <v>6</v>
      </c>
      <c r="S102" s="12">
        <f t="shared" si="2"/>
        <v>2500</v>
      </c>
    </row>
    <row r="103" spans="12:19" x14ac:dyDescent="0.25">
      <c r="L103" s="5" t="s">
        <v>24</v>
      </c>
      <c r="M103" s="5" t="s">
        <v>27</v>
      </c>
      <c r="N103" s="11">
        <v>100</v>
      </c>
      <c r="O103" s="5">
        <v>18</v>
      </c>
      <c r="P103" s="5">
        <v>65</v>
      </c>
      <c r="Q103" s="5" t="s">
        <v>20</v>
      </c>
      <c r="R103" s="7" t="s">
        <v>8</v>
      </c>
      <c r="S103" s="12">
        <f t="shared" si="2"/>
        <v>1800</v>
      </c>
    </row>
    <row r="104" spans="12:19" x14ac:dyDescent="0.25">
      <c r="L104" s="5" t="s">
        <v>24</v>
      </c>
      <c r="M104" s="5" t="s">
        <v>27</v>
      </c>
      <c r="N104" s="11">
        <v>100</v>
      </c>
      <c r="O104" s="5">
        <v>7</v>
      </c>
      <c r="P104" s="5">
        <v>43</v>
      </c>
      <c r="Q104" s="5" t="s">
        <v>20</v>
      </c>
      <c r="R104" s="7" t="s">
        <v>6</v>
      </c>
      <c r="S104" s="12">
        <f t="shared" si="2"/>
        <v>700</v>
      </c>
    </row>
    <row r="105" spans="12:19" x14ac:dyDescent="0.25">
      <c r="L105" s="5" t="s">
        <v>24</v>
      </c>
      <c r="M105" s="5" t="s">
        <v>27</v>
      </c>
      <c r="N105" s="11">
        <v>100</v>
      </c>
      <c r="O105" s="5">
        <v>5</v>
      </c>
      <c r="P105" s="5">
        <v>36</v>
      </c>
      <c r="Q105" s="5" t="s">
        <v>21</v>
      </c>
      <c r="R105" s="7" t="s">
        <v>8</v>
      </c>
      <c r="S105" s="12">
        <f t="shared" si="2"/>
        <v>500</v>
      </c>
    </row>
    <row r="106" spans="12:19" x14ac:dyDescent="0.25">
      <c r="L106" s="5" t="s">
        <v>24</v>
      </c>
      <c r="M106" s="5" t="s">
        <v>27</v>
      </c>
      <c r="N106" s="11">
        <v>100</v>
      </c>
      <c r="O106" s="5">
        <v>23</v>
      </c>
      <c r="P106" s="5">
        <v>87</v>
      </c>
      <c r="Q106" s="5" t="s">
        <v>21</v>
      </c>
      <c r="R106" s="7" t="s">
        <v>6</v>
      </c>
      <c r="S106" s="12">
        <f t="shared" si="2"/>
        <v>2300</v>
      </c>
    </row>
    <row r="107" spans="12:19" x14ac:dyDescent="0.25">
      <c r="L107" s="5" t="s">
        <v>24</v>
      </c>
      <c r="M107" s="5" t="s">
        <v>27</v>
      </c>
      <c r="N107" s="11">
        <v>100</v>
      </c>
      <c r="O107" s="5">
        <v>28</v>
      </c>
      <c r="P107" s="5">
        <v>45</v>
      </c>
      <c r="Q107" s="5" t="s">
        <v>22</v>
      </c>
      <c r="R107" s="7" t="s">
        <v>8</v>
      </c>
      <c r="S107" s="12">
        <f t="shared" si="2"/>
        <v>2800</v>
      </c>
    </row>
    <row r="108" spans="12:19" x14ac:dyDescent="0.25">
      <c r="L108" s="5" t="s">
        <v>24</v>
      </c>
      <c r="M108" s="5" t="s">
        <v>27</v>
      </c>
      <c r="N108" s="11">
        <v>100</v>
      </c>
      <c r="O108" s="5">
        <v>37</v>
      </c>
      <c r="P108" s="5">
        <v>78</v>
      </c>
      <c r="Q108" s="5" t="s">
        <v>22</v>
      </c>
      <c r="R108" s="7" t="s">
        <v>6</v>
      </c>
      <c r="S108" s="12">
        <f t="shared" si="2"/>
        <v>3700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9"/>
  <dimension ref="A1:I31"/>
  <sheetViews>
    <sheetView showGridLines="0" zoomScale="140" zoomScaleNormal="140" workbookViewId="0">
      <selection activeCell="I6" sqref="I6:I13"/>
    </sheetView>
  </sheetViews>
  <sheetFormatPr defaultRowHeight="15" x14ac:dyDescent="0.25"/>
  <cols>
    <col min="1" max="1" width="15.42578125" customWidth="1"/>
    <col min="2" max="2" width="12.7109375" bestFit="1" customWidth="1"/>
    <col min="3" max="3" width="11.140625" bestFit="1" customWidth="1"/>
    <col min="8" max="8" width="12" bestFit="1" customWidth="1"/>
    <col min="9" max="9" width="22.28515625" customWidth="1"/>
  </cols>
  <sheetData>
    <row r="1" spans="1:9" x14ac:dyDescent="0.25">
      <c r="A1" s="32"/>
      <c r="B1" s="32"/>
      <c r="C1" s="32"/>
    </row>
    <row r="3" spans="1:9" x14ac:dyDescent="0.25">
      <c r="A3" s="17"/>
      <c r="B3" s="21"/>
      <c r="C3" s="19"/>
    </row>
    <row r="4" spans="1:9" x14ac:dyDescent="0.25">
      <c r="A4" s="17"/>
      <c r="B4" s="21"/>
      <c r="C4" s="19"/>
    </row>
    <row r="5" spans="1:9" ht="15.75" x14ac:dyDescent="0.25">
      <c r="A5" s="17"/>
      <c r="B5" s="21"/>
      <c r="C5" s="19"/>
      <c r="H5" s="35" t="s">
        <v>41</v>
      </c>
      <c r="I5" s="35"/>
    </row>
    <row r="6" spans="1:9" ht="15.75" x14ac:dyDescent="0.25">
      <c r="H6" s="27" t="s">
        <v>34</v>
      </c>
      <c r="I6" s="29" t="s">
        <v>11</v>
      </c>
    </row>
    <row r="7" spans="1:9" ht="15.75" x14ac:dyDescent="0.25">
      <c r="E7" s="33"/>
      <c r="F7" s="34"/>
      <c r="G7" s="34"/>
      <c r="H7" s="27" t="s">
        <v>26</v>
      </c>
      <c r="I7" s="29" t="s">
        <v>27</v>
      </c>
    </row>
    <row r="8" spans="1:9" ht="15.75" x14ac:dyDescent="0.3">
      <c r="E8" s="18"/>
      <c r="F8" s="21"/>
      <c r="G8" s="21"/>
      <c r="H8" s="28" t="s">
        <v>37</v>
      </c>
      <c r="I8" s="31">
        <v>35</v>
      </c>
    </row>
    <row r="9" spans="1:9" ht="15.75" x14ac:dyDescent="0.25">
      <c r="E9" s="21"/>
      <c r="F9" s="21"/>
      <c r="G9" s="21"/>
      <c r="H9" s="27" t="s">
        <v>35</v>
      </c>
      <c r="I9" s="29">
        <v>150</v>
      </c>
    </row>
    <row r="10" spans="1:9" ht="15.75" x14ac:dyDescent="0.25">
      <c r="E10" s="21"/>
      <c r="F10" s="21"/>
      <c r="G10" s="21"/>
      <c r="H10" s="27" t="s">
        <v>36</v>
      </c>
      <c r="I10" s="29">
        <v>266</v>
      </c>
    </row>
    <row r="11" spans="1:9" ht="15.75" x14ac:dyDescent="0.25">
      <c r="E11" s="21"/>
      <c r="F11" s="21"/>
      <c r="G11" s="21"/>
      <c r="H11" s="27" t="s">
        <v>38</v>
      </c>
      <c r="I11" s="29" t="s">
        <v>14</v>
      </c>
    </row>
    <row r="12" spans="1:9" ht="15.75" x14ac:dyDescent="0.25">
      <c r="E12" s="21"/>
      <c r="F12" s="21"/>
      <c r="G12" s="21"/>
      <c r="H12" s="27" t="s">
        <v>39</v>
      </c>
      <c r="I12" s="29" t="s">
        <v>8</v>
      </c>
    </row>
    <row r="13" spans="1:9" ht="15.75" x14ac:dyDescent="0.25">
      <c r="E13" s="21"/>
      <c r="F13" s="21"/>
      <c r="G13" s="21"/>
      <c r="H13" s="27" t="s">
        <v>40</v>
      </c>
      <c r="I13" s="30">
        <f>I8*I9</f>
        <v>5250</v>
      </c>
    </row>
    <row r="14" spans="1:9" x14ac:dyDescent="0.25">
      <c r="E14" s="21"/>
      <c r="F14" s="21"/>
      <c r="G14" s="21"/>
    </row>
    <row r="15" spans="1:9" x14ac:dyDescent="0.25">
      <c r="E15" s="21"/>
      <c r="F15" s="21"/>
      <c r="G15" s="21"/>
    </row>
    <row r="16" spans="1:9" x14ac:dyDescent="0.25">
      <c r="E16" s="21"/>
      <c r="F16" s="21"/>
      <c r="G16" s="21"/>
    </row>
    <row r="17" spans="5:7" x14ac:dyDescent="0.25">
      <c r="E17" s="21"/>
      <c r="F17" s="21"/>
      <c r="G17" s="21"/>
    </row>
    <row r="18" spans="5:7" x14ac:dyDescent="0.25">
      <c r="E18" s="21"/>
      <c r="F18" s="21"/>
      <c r="G18" s="21"/>
    </row>
    <row r="19" spans="5:7" x14ac:dyDescent="0.25">
      <c r="E19" s="21"/>
      <c r="F19" s="21"/>
      <c r="G19" s="21"/>
    </row>
    <row r="20" spans="5:7" x14ac:dyDescent="0.25">
      <c r="E20" s="21"/>
      <c r="F20" s="21"/>
      <c r="G20" s="21"/>
    </row>
    <row r="21" spans="5:7" x14ac:dyDescent="0.25">
      <c r="E21" s="21"/>
      <c r="F21" s="21"/>
      <c r="G21" s="21"/>
    </row>
    <row r="22" spans="5:7" x14ac:dyDescent="0.25">
      <c r="E22" s="21"/>
      <c r="F22" s="21"/>
      <c r="G22" s="21"/>
    </row>
    <row r="23" spans="5:7" x14ac:dyDescent="0.25">
      <c r="E23" s="21"/>
      <c r="F23" s="21"/>
      <c r="G23" s="21"/>
    </row>
    <row r="24" spans="5:7" x14ac:dyDescent="0.25">
      <c r="E24" s="21"/>
      <c r="F24" s="21"/>
      <c r="G24" s="21"/>
    </row>
    <row r="25" spans="5:7" x14ac:dyDescent="0.25">
      <c r="E25" s="21"/>
      <c r="F25" s="21"/>
      <c r="G25" s="21"/>
    </row>
    <row r="26" spans="5:7" x14ac:dyDescent="0.25">
      <c r="E26" s="21"/>
      <c r="F26" s="21"/>
      <c r="G26" s="21"/>
    </row>
    <row r="27" spans="5:7" x14ac:dyDescent="0.25">
      <c r="E27" s="21"/>
      <c r="F27" s="21"/>
      <c r="G27" s="21"/>
    </row>
    <row r="28" spans="5:7" x14ac:dyDescent="0.25">
      <c r="E28" s="21"/>
      <c r="F28" s="21"/>
      <c r="G28" s="21"/>
    </row>
    <row r="29" spans="5:7" x14ac:dyDescent="0.25">
      <c r="E29" s="21"/>
      <c r="F29" s="21"/>
      <c r="G29" s="21"/>
    </row>
    <row r="30" spans="5:7" x14ac:dyDescent="0.25">
      <c r="E30" s="21"/>
      <c r="F30" s="21"/>
      <c r="G30" s="21"/>
    </row>
    <row r="31" spans="5:7" x14ac:dyDescent="0.25">
      <c r="E31" s="21"/>
      <c r="F31" s="21"/>
      <c r="G31" s="21"/>
    </row>
  </sheetData>
  <sheetProtection formatCells="0" formatRows="0" selectLockedCells="1"/>
  <mergeCells count="3">
    <mergeCell ref="A1:C1"/>
    <mergeCell ref="E7:G7"/>
    <mergeCell ref="H5:I5"/>
  </mergeCells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'base de dados juntas'!$Q$5:$Q$8</xm:f>
          </x14:formula1>
          <xm:sqref>I6</xm:sqref>
        </x14:dataValidation>
        <x14:dataValidation type="list" allowBlank="1" showInputMessage="1" showErrorMessage="1">
          <x14:formula1>
            <xm:f>'base de dados juntas'!$S$5:$S$16</xm:f>
          </x14:formula1>
          <xm:sqref>I11</xm:sqref>
        </x14:dataValidation>
        <x14:dataValidation type="list" allowBlank="1" showInputMessage="1" showErrorMessage="1">
          <x14:formula1>
            <xm:f>'base de dados juntas'!$V$5:$V$6</xm:f>
          </x14:formula1>
          <xm:sqref>I12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0"/>
  <dimension ref="V20"/>
  <sheetViews>
    <sheetView showGridLines="0" showRowColHeaders="0" tabSelected="1" zoomScale="90" zoomScaleNormal="90" workbookViewId="0">
      <selection activeCell="A46" sqref="A46"/>
    </sheetView>
  </sheetViews>
  <sheetFormatPr defaultRowHeight="15" x14ac:dyDescent="0.25"/>
  <cols>
    <col min="1" max="16384" width="9.140625" style="16"/>
  </cols>
  <sheetData>
    <row r="20" spans="22:22" x14ac:dyDescent="0.25">
      <c r="V20" s="22" t="s">
        <v>33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10</vt:i4>
      </vt:variant>
    </vt:vector>
  </HeadingPairs>
  <TitlesOfParts>
    <vt:vector size="10" baseType="lpstr">
      <vt:lpstr>base de dados separadas</vt:lpstr>
      <vt:lpstr>datas</vt:lpstr>
      <vt:lpstr>estoque</vt:lpstr>
      <vt:lpstr>vendas nas lojas</vt:lpstr>
      <vt:lpstr>quantidades</vt:lpstr>
      <vt:lpstr>itens</vt:lpstr>
      <vt:lpstr>base de dados juntas</vt:lpstr>
      <vt:lpstr>Planilha2</vt:lpstr>
      <vt:lpstr>app macro</vt:lpstr>
      <vt:lpstr>dashboard 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Turma Manha</dc:creator>
  <cp:lastModifiedBy>Turma Manha</cp:lastModifiedBy>
  <cp:lastPrinted>2024-06-10T14:16:35Z</cp:lastPrinted>
  <dcterms:created xsi:type="dcterms:W3CDTF">2024-05-29T13:07:26Z</dcterms:created>
  <dcterms:modified xsi:type="dcterms:W3CDTF">2024-06-25T12:22:26Z</dcterms:modified>
</cp:coreProperties>
</file>